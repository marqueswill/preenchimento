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df.sharepoint.com/sites/SECON/Shared Documents/General/ANO_ATUAL/FOLHA_DE_PAGAMENTO_2025/TEMPLATES/"/>
    </mc:Choice>
  </mc:AlternateContent>
  <xr:revisionPtr revIDLastSave="704" documentId="8_{ADE041D9-CA66-43E1-BA06-0A80B9AEFBFB}" xr6:coauthVersionLast="47" xr6:coauthVersionMax="47" xr10:uidLastSave="{2DBBF053-B6EA-47F5-9D72-3220FF1FE613}"/>
  <bookViews>
    <workbookView xWindow="28680" yWindow="3315" windowWidth="29040" windowHeight="15720" activeTab="2" xr2:uid="{3AADC3CF-6888-437B-9984-60935814F406}"/>
  </bookViews>
  <sheets>
    <sheet name="PRINCIPAL" sheetId="1" r:id="rId1"/>
    <sheet name="SUBSTITUICOES" sheetId="2" r:id="rId2"/>
    <sheet name="BENEFICIOS" sheetId="4" r:id="rId3"/>
    <sheet name="DEA_BENEFÍCIOS" sheetId="7" r:id="rId4"/>
    <sheet name="INDENIZACOES_RESTITUICOES" sheetId="8" r:id="rId5"/>
    <sheet name="INDENIZACOES_PESSOAL" sheetId="12" r:id="rId6"/>
    <sheet name="ADIANTAMENTO_FERIAS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8" l="1"/>
  <c r="F12" i="8"/>
  <c r="F11" i="8"/>
  <c r="F10" i="7"/>
  <c r="F9" i="7"/>
  <c r="F12" i="4"/>
  <c r="F11" i="4"/>
  <c r="F9" i="2"/>
  <c r="F19" i="1" l="1"/>
  <c r="F18" i="1"/>
</calcChain>
</file>

<file path=xl/sharedStrings.xml><?xml version="1.0" encoding="utf-8"?>
<sst xmlns="http://schemas.openxmlformats.org/spreadsheetml/2006/main" count="221" uniqueCount="70">
  <si>
    <t>Prioridade de Pagamento:</t>
  </si>
  <si>
    <t>F0</t>
  </si>
  <si>
    <t>Credor:</t>
  </si>
  <si>
    <t>UG/Gestão:</t>
  </si>
  <si>
    <t>4 - UG/Gestão</t>
  </si>
  <si>
    <t>130101-00001</t>
  </si>
  <si>
    <t>2025NE00128</t>
  </si>
  <si>
    <t>2025NE00128FP0201010</t>
  </si>
  <si>
    <t>Observação</t>
  </si>
  <si>
    <t>2025NE00129</t>
  </si>
  <si>
    <t>020101-00001</t>
  </si>
  <si>
    <t>Processo</t>
  </si>
  <si>
    <t>00600-0000000001/2025-42</t>
  </si>
  <si>
    <t>2025NE00131</t>
  </si>
  <si>
    <t>2025NE08</t>
  </si>
  <si>
    <t>2025FP0201010</t>
  </si>
  <si>
    <t>2025NE00136</t>
  </si>
  <si>
    <t>2025NE00135</t>
  </si>
  <si>
    <t>2025NE00137</t>
  </si>
  <si>
    <t>2025NE2025FP0201010</t>
  </si>
  <si>
    <t>EVENTO</t>
  </si>
  <si>
    <t>INSCRIÇÃO</t>
  </si>
  <si>
    <t>CLASS. CONT</t>
  </si>
  <si>
    <t>CLASS. ORC</t>
  </si>
  <si>
    <t>FONTE</t>
  </si>
  <si>
    <t>VALOR</t>
  </si>
  <si>
    <t>.</t>
  </si>
  <si>
    <t>31901600</t>
  </si>
  <si>
    <t>31901602</t>
  </si>
  <si>
    <t>33904600</t>
  </si>
  <si>
    <t>33900800</t>
  </si>
  <si>
    <t>211115101</t>
  </si>
  <si>
    <t>33909208</t>
  </si>
  <si>
    <t>33909317</t>
  </si>
  <si>
    <t>33909315</t>
  </si>
  <si>
    <t>33909304</t>
  </si>
  <si>
    <t>211110101</t>
  </si>
  <si>
    <t>31901141</t>
  </si>
  <si>
    <t>31901134</t>
  </si>
  <si>
    <t>31901156</t>
  </si>
  <si>
    <t>31901157</t>
  </si>
  <si>
    <t>31901131</t>
  </si>
  <si>
    <t>31901107</t>
  </si>
  <si>
    <t>APROPRIAÇÃO DE DESPESA COM VENCIMENTOS NA FOLHA DE PAGAMENTO NORMAL DO MÊS DE &lt;MONTH&gt; DE &lt;YEAR&gt;. FUNDO RGPS</t>
  </si>
  <si>
    <t>APROPRIAÇÃO DE DESPESA COM SUBSTITUIÇÕES NA FOLHA DE PAGAMENTO NORMAL DO MÊS DE &lt;MONTH&gt;/&lt;YEAR&gt;. FUNDO RGPS.</t>
  </si>
  <si>
    <t>APROPRIAÇÃO DE DESPESA COM BENEFÍCIOS (PRÓ-SAÚDE, AUXÍLIO-CRECHE E AUXÍLIO-ALIMENTAÇÃO) NA FOLHA DE PAGAMENTO NORMAL DO MÊS DE &lt;MONTH&gt;/&lt;YEAR&gt;. FUNDO RGPS.</t>
  </si>
  <si>
    <t>PROVISÃO E APROPRIAÇÃO DE DESPESA DE EXERCÍCIOS ANTERIORES REFERENTE A BENEFÍCIOS NA FOLHA DE PAGAMENTO NORMAL DO MÊS DE &lt;MONTH&gt;/&lt;YEAR&gt;. FUNDO RGPS.</t>
  </si>
  <si>
    <t>AJUSTE DE DESPESA NA FOLHA DE PAGAMENTO NORMAL DO MÊS DE &lt;MONTH&gt;/&lt;YEAR&gt; REFERENTE AOS PROVISIONAMENTOS DE ADIANTAMENTO DE FÉRIAS. FUNDO RGPS.</t>
  </si>
  <si>
    <t>510005</t>
  </si>
  <si>
    <t>515001</t>
  </si>
  <si>
    <t>113110101</t>
  </si>
  <si>
    <t>311210132</t>
  </si>
  <si>
    <t>31901167</t>
  </si>
  <si>
    <t>APROPRIAÇÃO DE DESPESA COM INDENIZAÇÕES E RESTITUIÇÕES (TELEFONIA, CURSOS E TRANSPORTE) NA FOLHA DE PAGAMENTO NORMAL DO MÊS DE &lt;MONTH&gt;/&lt;YEAR&gt;. FUNDO RGPS.</t>
  </si>
  <si>
    <t>APROPRIAÇÃO DE DESPESA COM INDENIZAÇÕES DE PESSOAL NA FOLHA DE PAGAMENTO NORMAL DO MÊS DE &lt;MONTH&gt;/&lt;YEAR&gt;. FUNDO RGPS.</t>
  </si>
  <si>
    <t>2025NE00134</t>
  </si>
  <si>
    <t>331901131, 331901132</t>
  </si>
  <si>
    <t>33900855, 33900811</t>
  </si>
  <si>
    <t>33904602</t>
  </si>
  <si>
    <t>218810110, 218810199, 218820104, 218830102</t>
  </si>
  <si>
    <t>SOMAR</t>
  </si>
  <si>
    <t>SUBTRAIR</t>
  </si>
  <si>
    <t>331901167, 331901101, 331901102, 331901104</t>
  </si>
  <si>
    <t>331901107, 331901134, 331901141,  331901156, 331901157, 331901167, 331901101, 331901102, 331901104</t>
  </si>
  <si>
    <t>TIPO</t>
  </si>
  <si>
    <t>2025NE00132</t>
  </si>
  <si>
    <t>FP0201010</t>
  </si>
  <si>
    <t>PROVENTO ADIANTAMENTO FÉRIAS</t>
  </si>
  <si>
    <t>DESCONTO ADIANTAMENTO FÉRIAS</t>
  </si>
  <si>
    <t>331901101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</si>
</sst>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3" fillId="0" borderId="0" xfId="0" applyNumberFormat="1" applyFont="1"/>
  </cellXfs>
  <cellStyles count="2">
    <cellStyle name="Normal" xfId="0" builtinId="0"/>
    <cellStyle name="Normal 3" xfId="1" xr:uid="{9AAC9BDD-E92C-4EE5-AC82-D20B2FB4B66B}"/>
  </cellStyles>
  <dxfs count="0"/>
  <tableStyles count="1" defaultTableStyle="TableStyleMedium2" defaultPivotStyle="PivotStyleLight16">
    <tableStyle name="Invisible" pivot="0" table="0" count="0" xr9:uid="{A5B4FD34-DEA3-4FB0-98A5-4FB463BD5C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47F9-188A-4879-8C79-35620B5A132C}">
  <dimension ref="A1:L23"/>
  <sheetViews>
    <sheetView workbookViewId="0">
      <selection activeCell="C7" sqref="C7"/>
    </sheetView>
  </sheetViews>
  <sheetFormatPr defaultRowHeight="15" x14ac:dyDescent="0.25"/>
  <cols>
    <col min="1" max="1" width="24.28515625" style="2" bestFit="1" customWidth="1"/>
    <col min="2" max="2" width="23.85546875" style="2" customWidth="1"/>
    <col min="3" max="3" width="21.140625" style="2" bestFit="1" customWidth="1"/>
    <col min="4" max="4" width="26.28515625" style="2" bestFit="1" customWidth="1"/>
    <col min="5" max="5" width="16.140625" style="2" bestFit="1" customWidth="1"/>
    <col min="6" max="6" width="19.28515625" style="2" customWidth="1"/>
    <col min="7" max="7" width="93.28515625" style="2" bestFit="1" customWidth="1"/>
    <col min="8" max="8" width="41" style="2" bestFit="1" customWidth="1"/>
    <col min="10" max="11" width="12.5703125" bestFit="1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2" t="s">
        <v>2</v>
      </c>
      <c r="B2" s="2" t="s">
        <v>4</v>
      </c>
    </row>
    <row r="3" spans="1:12" x14ac:dyDescent="0.25">
      <c r="A3" s="2" t="s">
        <v>3</v>
      </c>
      <c r="B3" s="2" t="s">
        <v>5</v>
      </c>
    </row>
    <row r="4" spans="1:12" x14ac:dyDescent="0.25">
      <c r="A4" s="2" t="s">
        <v>11</v>
      </c>
      <c r="B4" s="2" t="s">
        <v>12</v>
      </c>
    </row>
    <row r="5" spans="1:12" x14ac:dyDescent="0.25">
      <c r="A5" s="2" t="s">
        <v>8</v>
      </c>
      <c r="B5" s="2" t="s">
        <v>43</v>
      </c>
    </row>
    <row r="7" spans="1:12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60</v>
      </c>
      <c r="H7" s="2" t="s">
        <v>61</v>
      </c>
      <c r="I7" t="s">
        <v>64</v>
      </c>
    </row>
    <row r="8" spans="1:12" x14ac:dyDescent="0.25">
      <c r="A8" s="2">
        <v>510001</v>
      </c>
      <c r="B8" s="2" t="s">
        <v>6</v>
      </c>
      <c r="C8" s="2">
        <v>311210106</v>
      </c>
      <c r="D8" s="2" t="s">
        <v>42</v>
      </c>
      <c r="E8" s="2">
        <v>100000000</v>
      </c>
      <c r="G8" s="2">
        <v>331901107</v>
      </c>
    </row>
    <row r="9" spans="1:12" x14ac:dyDescent="0.25">
      <c r="A9" s="2">
        <v>510001</v>
      </c>
      <c r="B9" s="2" t="s">
        <v>6</v>
      </c>
      <c r="C9" s="2">
        <v>311210122</v>
      </c>
      <c r="D9" s="2">
        <v>31901122</v>
      </c>
      <c r="E9" s="2">
        <v>100000000</v>
      </c>
      <c r="G9" s="2">
        <v>331901122</v>
      </c>
    </row>
    <row r="10" spans="1:12" x14ac:dyDescent="0.25">
      <c r="A10" s="2">
        <v>510001</v>
      </c>
      <c r="B10" s="2" t="s">
        <v>6</v>
      </c>
      <c r="C10" s="2">
        <v>311210123</v>
      </c>
      <c r="D10" s="2" t="s">
        <v>41</v>
      </c>
      <c r="E10" s="2">
        <v>100000000</v>
      </c>
      <c r="G10" s="2">
        <v>331901131</v>
      </c>
    </row>
    <row r="11" spans="1:12" x14ac:dyDescent="0.25">
      <c r="A11" s="2">
        <v>510001</v>
      </c>
      <c r="B11" s="2" t="s">
        <v>6</v>
      </c>
      <c r="C11" s="2">
        <v>311210124</v>
      </c>
      <c r="D11" s="2">
        <v>31901132</v>
      </c>
      <c r="E11" s="2">
        <v>100000000</v>
      </c>
      <c r="G11" s="2">
        <v>331901132</v>
      </c>
    </row>
    <row r="12" spans="1:12" x14ac:dyDescent="0.25">
      <c r="A12" s="2">
        <v>510001</v>
      </c>
      <c r="B12" s="2" t="s">
        <v>6</v>
      </c>
      <c r="C12" s="2">
        <v>311210134</v>
      </c>
      <c r="D12" s="2" t="s">
        <v>38</v>
      </c>
      <c r="E12" s="2">
        <v>100000000</v>
      </c>
      <c r="G12" s="2">
        <v>331901134</v>
      </c>
    </row>
    <row r="13" spans="1:12" x14ac:dyDescent="0.25">
      <c r="A13" s="2">
        <v>510001</v>
      </c>
      <c r="B13" s="2" t="s">
        <v>6</v>
      </c>
      <c r="C13" s="2">
        <v>311210141</v>
      </c>
      <c r="D13" s="2" t="s">
        <v>37</v>
      </c>
      <c r="E13" s="2">
        <v>100000000</v>
      </c>
      <c r="G13" s="2">
        <v>331901141</v>
      </c>
    </row>
    <row r="14" spans="1:12" x14ac:dyDescent="0.25">
      <c r="A14" s="2">
        <v>510001</v>
      </c>
      <c r="B14" s="2" t="s">
        <v>6</v>
      </c>
      <c r="C14" s="2">
        <v>311210132</v>
      </c>
      <c r="D14" s="2" t="s">
        <v>39</v>
      </c>
      <c r="E14" s="2">
        <v>100000000</v>
      </c>
      <c r="G14" s="2">
        <v>331901156</v>
      </c>
    </row>
    <row r="15" spans="1:12" x14ac:dyDescent="0.25">
      <c r="A15" s="2">
        <v>510001</v>
      </c>
      <c r="B15" s="2" t="s">
        <v>6</v>
      </c>
      <c r="C15" s="2">
        <v>311210157</v>
      </c>
      <c r="D15" s="2" t="s">
        <v>40</v>
      </c>
      <c r="E15" s="2">
        <v>100000000</v>
      </c>
      <c r="G15" s="2">
        <v>331901157</v>
      </c>
      <c r="J15" s="1"/>
      <c r="K15" s="1"/>
      <c r="L15" s="1"/>
    </row>
    <row r="16" spans="1:12" x14ac:dyDescent="0.25">
      <c r="A16" s="2">
        <v>510001</v>
      </c>
      <c r="B16" s="2" t="s">
        <v>6</v>
      </c>
      <c r="C16" s="2">
        <v>311210132</v>
      </c>
      <c r="D16" s="2">
        <v>31901167</v>
      </c>
      <c r="E16" s="2">
        <v>100000000</v>
      </c>
      <c r="G16" s="2" t="s">
        <v>62</v>
      </c>
    </row>
    <row r="17" spans="1:8" x14ac:dyDescent="0.25">
      <c r="A17" s="2">
        <v>520001</v>
      </c>
      <c r="B17" s="2" t="s">
        <v>6</v>
      </c>
      <c r="C17" s="2">
        <v>211110101</v>
      </c>
      <c r="D17" s="2">
        <v>31901100</v>
      </c>
      <c r="E17" s="2">
        <v>100000000</v>
      </c>
      <c r="G17" s="2" t="s">
        <v>63</v>
      </c>
      <c r="H17" s="2" t="s">
        <v>59</v>
      </c>
    </row>
    <row r="18" spans="1:8" x14ac:dyDescent="0.25">
      <c r="A18" s="2">
        <v>520001</v>
      </c>
      <c r="B18" s="2" t="s">
        <v>6</v>
      </c>
      <c r="C18" s="2">
        <v>211110102</v>
      </c>
      <c r="D18" s="2">
        <v>31901100</v>
      </c>
      <c r="E18" s="2">
        <v>100000000</v>
      </c>
      <c r="F18" s="2">
        <f>F9</f>
        <v>0</v>
      </c>
      <c r="G18" s="2">
        <v>331901122</v>
      </c>
    </row>
    <row r="19" spans="1:8" x14ac:dyDescent="0.25">
      <c r="A19" s="2">
        <v>520001</v>
      </c>
      <c r="B19" s="2" t="s">
        <v>6</v>
      </c>
      <c r="C19" s="2">
        <v>211110103</v>
      </c>
      <c r="D19" s="2">
        <v>31901100</v>
      </c>
      <c r="E19" s="2">
        <v>100000000</v>
      </c>
      <c r="F19" s="2">
        <f>F10+F11</f>
        <v>0</v>
      </c>
      <c r="G19" s="2" t="s">
        <v>56</v>
      </c>
    </row>
    <row r="20" spans="1:8" x14ac:dyDescent="0.25">
      <c r="A20" s="2">
        <v>520206</v>
      </c>
      <c r="B20" s="2" t="s">
        <v>7</v>
      </c>
      <c r="C20" s="2">
        <v>218810110</v>
      </c>
      <c r="D20" t="s">
        <v>26</v>
      </c>
      <c r="E20" s="2">
        <v>100000000</v>
      </c>
      <c r="G20" s="2">
        <v>218810110</v>
      </c>
    </row>
    <row r="21" spans="1:8" x14ac:dyDescent="0.25">
      <c r="A21" s="2">
        <v>520222</v>
      </c>
      <c r="B21" s="2" t="s">
        <v>7</v>
      </c>
      <c r="C21" s="2">
        <v>218810199</v>
      </c>
      <c r="D21" t="s">
        <v>26</v>
      </c>
      <c r="E21" s="2">
        <v>100000000</v>
      </c>
      <c r="G21" s="2">
        <v>218810199</v>
      </c>
    </row>
    <row r="22" spans="1:8" x14ac:dyDescent="0.25">
      <c r="A22" s="2">
        <v>520264</v>
      </c>
      <c r="B22" s="2" t="s">
        <v>7</v>
      </c>
      <c r="C22" s="2">
        <v>218820104</v>
      </c>
      <c r="D22" t="s">
        <v>26</v>
      </c>
      <c r="E22" s="2">
        <v>100000000</v>
      </c>
      <c r="G22" s="2">
        <v>218820104</v>
      </c>
    </row>
    <row r="23" spans="1:8" x14ac:dyDescent="0.25">
      <c r="A23" s="2">
        <v>520295</v>
      </c>
      <c r="B23" s="2" t="s">
        <v>7</v>
      </c>
      <c r="C23" s="2">
        <v>218830102</v>
      </c>
      <c r="D23" t="s">
        <v>26</v>
      </c>
      <c r="E23" s="2">
        <v>100000000</v>
      </c>
      <c r="G23" s="2">
        <v>218830102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47E9-BD47-4B74-BD2D-3A3C2028AC39}">
  <dimension ref="A1:I9"/>
  <sheetViews>
    <sheetView workbookViewId="0">
      <selection activeCell="E25" sqref="E25"/>
    </sheetView>
  </sheetViews>
  <sheetFormatPr defaultRowHeight="15" x14ac:dyDescent="0.25"/>
  <cols>
    <col min="1" max="1" width="24.28515625" style="2" bestFit="1" customWidth="1"/>
    <col min="2" max="2" width="13.7109375" style="2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7" width="9.140625" style="2"/>
    <col min="8" max="8" width="11.85546875" style="2" customWidth="1"/>
    <col min="9" max="9" width="9.140625" style="2"/>
  </cols>
  <sheetData>
    <row r="1" spans="1:9" x14ac:dyDescent="0.25">
      <c r="A1" s="2" t="s">
        <v>0</v>
      </c>
      <c r="B1" s="2" t="s">
        <v>1</v>
      </c>
    </row>
    <row r="2" spans="1:9" x14ac:dyDescent="0.25">
      <c r="A2" s="2" t="s">
        <v>2</v>
      </c>
      <c r="B2" s="2" t="s">
        <v>4</v>
      </c>
    </row>
    <row r="3" spans="1:9" x14ac:dyDescent="0.25">
      <c r="A3" s="2" t="s">
        <v>3</v>
      </c>
      <c r="B3" s="2" t="s">
        <v>10</v>
      </c>
    </row>
    <row r="4" spans="1:9" x14ac:dyDescent="0.25">
      <c r="A4" s="2" t="s">
        <v>11</v>
      </c>
      <c r="B4" s="2" t="s">
        <v>12</v>
      </c>
    </row>
    <row r="5" spans="1:9" x14ac:dyDescent="0.25">
      <c r="A5" s="2" t="s">
        <v>8</v>
      </c>
      <c r="B5" s="2" t="s">
        <v>44</v>
      </c>
    </row>
    <row r="7" spans="1:9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2" t="s">
        <v>60</v>
      </c>
      <c r="H7" s="2" t="s">
        <v>61</v>
      </c>
      <c r="I7" s="2" t="s">
        <v>64</v>
      </c>
    </row>
    <row r="8" spans="1:9" x14ac:dyDescent="0.25">
      <c r="A8" s="2">
        <v>510001</v>
      </c>
      <c r="B8" s="2" t="s">
        <v>9</v>
      </c>
      <c r="C8" s="2">
        <v>311210201</v>
      </c>
      <c r="D8" s="2" t="s">
        <v>28</v>
      </c>
      <c r="E8" s="2">
        <v>100000000</v>
      </c>
      <c r="G8" s="2" t="s">
        <v>28</v>
      </c>
    </row>
    <row r="9" spans="1:9" x14ac:dyDescent="0.25">
      <c r="A9" s="2">
        <v>520001</v>
      </c>
      <c r="B9" s="2" t="s">
        <v>9</v>
      </c>
      <c r="C9" s="2">
        <v>211110101</v>
      </c>
      <c r="D9" s="2" t="s">
        <v>27</v>
      </c>
      <c r="E9" s="2">
        <v>100000000</v>
      </c>
      <c r="F9" s="2">
        <f>F8</f>
        <v>0</v>
      </c>
      <c r="G9" s="2" t="s">
        <v>28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B2B2-724F-4819-9A86-10DF122C589B}">
  <dimension ref="A1:I12"/>
  <sheetViews>
    <sheetView tabSelected="1" workbookViewId="0">
      <selection activeCell="E15" sqref="E15"/>
    </sheetView>
  </sheetViews>
  <sheetFormatPr defaultRowHeight="15" x14ac:dyDescent="0.25"/>
  <cols>
    <col min="1" max="1" width="24.28515625" style="2" bestFit="1" customWidth="1"/>
    <col min="2" max="2" width="13.140625" style="2" bestFit="1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6" width="10.5703125" style="2" bestFit="1" customWidth="1"/>
    <col min="7" max="7" width="9.140625" style="2"/>
    <col min="8" max="8" width="9.140625" style="2" customWidth="1"/>
    <col min="9" max="9" width="9.140625" style="2"/>
  </cols>
  <sheetData>
    <row r="1" spans="1:9" x14ac:dyDescent="0.25">
      <c r="A1" s="2" t="s">
        <v>0</v>
      </c>
      <c r="B1" s="2" t="s">
        <v>1</v>
      </c>
    </row>
    <row r="2" spans="1:9" x14ac:dyDescent="0.25">
      <c r="A2" s="2" t="s">
        <v>2</v>
      </c>
      <c r="B2" s="2" t="s">
        <v>4</v>
      </c>
    </row>
    <row r="3" spans="1:9" x14ac:dyDescent="0.25">
      <c r="A3" s="2" t="s">
        <v>3</v>
      </c>
      <c r="B3" s="2" t="s">
        <v>10</v>
      </c>
    </row>
    <row r="4" spans="1:9" x14ac:dyDescent="0.25">
      <c r="A4" s="2" t="s">
        <v>11</v>
      </c>
      <c r="B4" s="2" t="s">
        <v>12</v>
      </c>
    </row>
    <row r="5" spans="1:9" x14ac:dyDescent="0.25">
      <c r="A5" s="2" t="s">
        <v>8</v>
      </c>
      <c r="B5" s="2" t="s">
        <v>45</v>
      </c>
    </row>
    <row r="7" spans="1:9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2" t="s">
        <v>60</v>
      </c>
      <c r="H7" s="2" t="s">
        <v>61</v>
      </c>
      <c r="I7" s="2" t="s">
        <v>64</v>
      </c>
    </row>
    <row r="8" spans="1:9" x14ac:dyDescent="0.25">
      <c r="A8" s="2">
        <v>510010</v>
      </c>
      <c r="B8" s="2" t="s">
        <v>13</v>
      </c>
      <c r="C8" s="2">
        <v>313210600</v>
      </c>
      <c r="D8" s="2">
        <v>33900855</v>
      </c>
      <c r="E8" s="2">
        <v>100000000</v>
      </c>
      <c r="F8" s="3"/>
      <c r="G8" s="2">
        <v>33900855</v>
      </c>
    </row>
    <row r="9" spans="1:9" x14ac:dyDescent="0.25">
      <c r="A9" s="2">
        <v>510010</v>
      </c>
      <c r="B9" s="2" t="s">
        <v>13</v>
      </c>
      <c r="C9" s="2">
        <v>313211100</v>
      </c>
      <c r="D9" s="2">
        <v>33900811</v>
      </c>
      <c r="E9" s="2">
        <v>100000000</v>
      </c>
      <c r="F9" s="3"/>
      <c r="G9" s="2">
        <v>33900811</v>
      </c>
    </row>
    <row r="10" spans="1:9" x14ac:dyDescent="0.25">
      <c r="A10" s="2">
        <v>510051</v>
      </c>
      <c r="B10" s="2" t="s">
        <v>65</v>
      </c>
      <c r="C10" s="2">
        <v>313210100</v>
      </c>
      <c r="D10" s="2">
        <v>33904602</v>
      </c>
      <c r="E10" s="2">
        <v>100000000</v>
      </c>
      <c r="F10" s="3"/>
      <c r="G10" s="2">
        <v>33904602</v>
      </c>
    </row>
    <row r="11" spans="1:9" x14ac:dyDescent="0.25">
      <c r="A11" s="2">
        <v>520001</v>
      </c>
      <c r="B11" s="2" t="s">
        <v>13</v>
      </c>
      <c r="C11" s="2">
        <v>211110101</v>
      </c>
      <c r="D11" s="2" t="s">
        <v>30</v>
      </c>
      <c r="E11" s="2">
        <v>100000000</v>
      </c>
      <c r="F11" s="3">
        <f>F8+F9</f>
        <v>0</v>
      </c>
      <c r="G11" s="2" t="s">
        <v>57</v>
      </c>
    </row>
    <row r="12" spans="1:9" x14ac:dyDescent="0.25">
      <c r="A12" s="2">
        <v>520001</v>
      </c>
      <c r="B12" s="2" t="s">
        <v>65</v>
      </c>
      <c r="C12" s="2">
        <v>211110101</v>
      </c>
      <c r="D12" s="2" t="s">
        <v>29</v>
      </c>
      <c r="E12" s="2">
        <v>100000000</v>
      </c>
      <c r="F12" s="3">
        <f>F10</f>
        <v>0</v>
      </c>
      <c r="G12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33F9-E822-4E8B-9228-8BC55AC9C972}">
  <dimension ref="A1:I10"/>
  <sheetViews>
    <sheetView workbookViewId="0">
      <selection activeCell="H17" sqref="H17"/>
    </sheetView>
  </sheetViews>
  <sheetFormatPr defaultRowHeight="15" x14ac:dyDescent="0.25"/>
  <cols>
    <col min="1" max="1" width="24.28515625" style="2" bestFit="1" customWidth="1"/>
    <col min="2" max="2" width="22.7109375" style="2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6" width="10.5703125" style="2" bestFit="1" customWidth="1"/>
    <col min="7" max="9" width="9.140625" style="2"/>
  </cols>
  <sheetData>
    <row r="1" spans="1:9" x14ac:dyDescent="0.25">
      <c r="A1" s="2" t="s">
        <v>0</v>
      </c>
      <c r="B1" s="2" t="s">
        <v>1</v>
      </c>
    </row>
    <row r="2" spans="1:9" x14ac:dyDescent="0.25">
      <c r="A2" s="2" t="s">
        <v>2</v>
      </c>
      <c r="B2" s="2" t="s">
        <v>4</v>
      </c>
    </row>
    <row r="3" spans="1:9" x14ac:dyDescent="0.25">
      <c r="A3" s="2" t="s">
        <v>3</v>
      </c>
      <c r="B3" s="2" t="s">
        <v>10</v>
      </c>
    </row>
    <row r="4" spans="1:9" x14ac:dyDescent="0.25">
      <c r="A4" s="2" t="s">
        <v>11</v>
      </c>
      <c r="B4" s="2" t="s">
        <v>12</v>
      </c>
    </row>
    <row r="5" spans="1:9" x14ac:dyDescent="0.25">
      <c r="A5" s="2" t="s">
        <v>8</v>
      </c>
      <c r="B5" s="2" t="s">
        <v>46</v>
      </c>
    </row>
    <row r="7" spans="1:9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2" t="s">
        <v>60</v>
      </c>
      <c r="H7" s="2" t="s">
        <v>61</v>
      </c>
      <c r="I7" s="2" t="s">
        <v>64</v>
      </c>
    </row>
    <row r="8" spans="1:9" x14ac:dyDescent="0.25">
      <c r="A8" s="2">
        <v>510743</v>
      </c>
      <c r="B8" s="2" t="s">
        <v>14</v>
      </c>
      <c r="C8" s="2" t="s">
        <v>26</v>
      </c>
      <c r="D8" s="2" t="s">
        <v>32</v>
      </c>
      <c r="E8" s="2">
        <v>100000000</v>
      </c>
      <c r="F8" s="3"/>
      <c r="G8" s="2" t="s">
        <v>32</v>
      </c>
    </row>
    <row r="9" spans="1:9" x14ac:dyDescent="0.25">
      <c r="A9" s="2">
        <v>590001</v>
      </c>
      <c r="B9" s="2" t="s">
        <v>19</v>
      </c>
      <c r="C9" s="2" t="s">
        <v>31</v>
      </c>
      <c r="D9" s="2">
        <v>33909200</v>
      </c>
      <c r="E9" s="2">
        <v>100000000</v>
      </c>
      <c r="F9" s="3">
        <f>F8</f>
        <v>0</v>
      </c>
      <c r="G9" s="2" t="s">
        <v>32</v>
      </c>
    </row>
    <row r="10" spans="1:9" x14ac:dyDescent="0.25">
      <c r="A10" s="2">
        <v>850003</v>
      </c>
      <c r="B10" s="2" t="s">
        <v>15</v>
      </c>
      <c r="C10" s="2">
        <v>211115101</v>
      </c>
      <c r="D10" s="2" t="s">
        <v>26</v>
      </c>
      <c r="E10" s="2">
        <v>100000000</v>
      </c>
      <c r="F10" s="3">
        <f>F8</f>
        <v>0</v>
      </c>
      <c r="G10" s="2" t="s">
        <v>32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43CB-4692-4E37-96A0-FA3864A74761}">
  <dimension ref="A1:I15"/>
  <sheetViews>
    <sheetView workbookViewId="0">
      <selection activeCell="I7" sqref="I7"/>
    </sheetView>
  </sheetViews>
  <sheetFormatPr defaultRowHeight="15" x14ac:dyDescent="0.25"/>
  <cols>
    <col min="1" max="1" width="24.28515625" style="2" bestFit="1" customWidth="1"/>
    <col min="2" max="2" width="13.140625" style="2" bestFit="1" customWidth="1"/>
    <col min="3" max="3" width="14.42578125" style="2" bestFit="1" customWidth="1"/>
    <col min="4" max="4" width="19.42578125" style="2" bestFit="1" customWidth="1"/>
    <col min="5" max="5" width="16.42578125" style="2" bestFit="1" customWidth="1"/>
    <col min="6" max="6" width="10.5703125" style="2" bestFit="1" customWidth="1"/>
    <col min="7" max="7" width="9" style="2" bestFit="1" customWidth="1"/>
    <col min="8" max="9" width="9.140625" style="2"/>
  </cols>
  <sheetData>
    <row r="1" spans="1:9" x14ac:dyDescent="0.25">
      <c r="A1" s="2" t="s">
        <v>0</v>
      </c>
      <c r="B1" s="2" t="s">
        <v>1</v>
      </c>
    </row>
    <row r="2" spans="1:9" x14ac:dyDescent="0.25">
      <c r="A2" s="2" t="s">
        <v>2</v>
      </c>
      <c r="B2" s="2" t="s">
        <v>4</v>
      </c>
    </row>
    <row r="3" spans="1:9" x14ac:dyDescent="0.25">
      <c r="A3" s="2" t="s">
        <v>3</v>
      </c>
      <c r="B3" s="2" t="s">
        <v>10</v>
      </c>
    </row>
    <row r="4" spans="1:9" x14ac:dyDescent="0.25">
      <c r="A4" s="2" t="s">
        <v>11</v>
      </c>
      <c r="B4" s="2" t="s">
        <v>12</v>
      </c>
    </row>
    <row r="5" spans="1:9" x14ac:dyDescent="0.25">
      <c r="A5" s="2" t="s">
        <v>8</v>
      </c>
      <c r="B5" s="2" t="s">
        <v>53</v>
      </c>
    </row>
    <row r="7" spans="1:9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2" t="s">
        <v>60</v>
      </c>
      <c r="H7" s="2" t="s">
        <v>61</v>
      </c>
      <c r="I7" s="2" t="s">
        <v>64</v>
      </c>
    </row>
    <row r="8" spans="1:9" x14ac:dyDescent="0.25">
      <c r="A8" s="2">
        <v>510066</v>
      </c>
      <c r="B8" s="2" t="s">
        <v>17</v>
      </c>
      <c r="C8" s="2">
        <v>399612200</v>
      </c>
      <c r="D8" s="2" t="s">
        <v>33</v>
      </c>
      <c r="E8" s="2">
        <v>100000000</v>
      </c>
      <c r="F8" s="3"/>
      <c r="G8" s="2" t="s">
        <v>33</v>
      </c>
    </row>
    <row r="9" spans="1:9" x14ac:dyDescent="0.25">
      <c r="A9" s="2">
        <v>510066</v>
      </c>
      <c r="B9" s="2" t="s">
        <v>16</v>
      </c>
      <c r="C9" s="2">
        <v>399612000</v>
      </c>
      <c r="D9" s="2" t="s">
        <v>34</v>
      </c>
      <c r="E9" s="2">
        <v>100000000</v>
      </c>
      <c r="F9" s="3"/>
      <c r="G9" s="2" t="s">
        <v>34</v>
      </c>
    </row>
    <row r="10" spans="1:9" x14ac:dyDescent="0.25">
      <c r="A10" s="2">
        <v>510066</v>
      </c>
      <c r="B10" s="2" t="s">
        <v>18</v>
      </c>
      <c r="C10" s="2">
        <v>313211300</v>
      </c>
      <c r="D10" s="2" t="s">
        <v>35</v>
      </c>
      <c r="E10" s="2">
        <v>100000000</v>
      </c>
      <c r="F10" s="3"/>
      <c r="G10" s="2" t="s">
        <v>35</v>
      </c>
    </row>
    <row r="11" spans="1:9" x14ac:dyDescent="0.25">
      <c r="A11" s="2">
        <v>520001</v>
      </c>
      <c r="B11" s="2" t="s">
        <v>17</v>
      </c>
      <c r="C11" s="2" t="s">
        <v>36</v>
      </c>
      <c r="D11" s="2">
        <v>33909300</v>
      </c>
      <c r="E11" s="2">
        <v>100000000</v>
      </c>
      <c r="F11" s="3">
        <f>F8</f>
        <v>0</v>
      </c>
      <c r="G11" s="2" t="s">
        <v>33</v>
      </c>
    </row>
    <row r="12" spans="1:9" x14ac:dyDescent="0.25">
      <c r="A12" s="2">
        <v>520001</v>
      </c>
      <c r="B12" s="2" t="s">
        <v>16</v>
      </c>
      <c r="C12" s="2">
        <v>211110101</v>
      </c>
      <c r="D12" s="2">
        <v>33909300</v>
      </c>
      <c r="E12" s="2">
        <v>100000000</v>
      </c>
      <c r="F12" s="3">
        <f>F9</f>
        <v>0</v>
      </c>
      <c r="G12" s="2" t="s">
        <v>34</v>
      </c>
    </row>
    <row r="13" spans="1:9" x14ac:dyDescent="0.25">
      <c r="A13" s="2">
        <v>520001</v>
      </c>
      <c r="B13" s="2" t="s">
        <v>18</v>
      </c>
      <c r="C13" s="2">
        <v>211110101</v>
      </c>
      <c r="D13" s="2">
        <v>33909300</v>
      </c>
      <c r="E13" s="2">
        <v>100000000</v>
      </c>
      <c r="F13" s="3">
        <f>F10</f>
        <v>0</v>
      </c>
      <c r="G13" s="2" t="s">
        <v>35</v>
      </c>
    </row>
    <row r="15" spans="1:9" x14ac:dyDescent="0.25">
      <c r="F15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23AD-9FE6-409B-B11A-56DEEDE78667}">
  <dimension ref="A1:I9"/>
  <sheetViews>
    <sheetView topLeftCell="A4" workbookViewId="0">
      <selection activeCell="I7" sqref="I7"/>
    </sheetView>
  </sheetViews>
  <sheetFormatPr defaultRowHeight="15" x14ac:dyDescent="0.25"/>
  <cols>
    <col min="1" max="1" width="24.28515625" bestFit="1" customWidth="1"/>
    <col min="2" max="2" width="14.28515625" customWidth="1"/>
    <col min="3" max="3" width="15.7109375" customWidth="1"/>
    <col min="4" max="4" width="15.85546875" customWidth="1"/>
    <col min="5" max="5" width="13.28515625" customWidth="1"/>
  </cols>
  <sheetData>
    <row r="1" spans="1:9" x14ac:dyDescent="0.25">
      <c r="A1" s="2" t="s">
        <v>0</v>
      </c>
      <c r="B1" s="2" t="s">
        <v>1</v>
      </c>
    </row>
    <row r="2" spans="1:9" x14ac:dyDescent="0.25">
      <c r="A2" s="2" t="s">
        <v>2</v>
      </c>
      <c r="B2" s="2" t="s">
        <v>4</v>
      </c>
    </row>
    <row r="3" spans="1:9" x14ac:dyDescent="0.25">
      <c r="A3" s="2" t="s">
        <v>3</v>
      </c>
      <c r="B3" s="2" t="s">
        <v>10</v>
      </c>
    </row>
    <row r="4" spans="1:9" x14ac:dyDescent="0.25">
      <c r="A4" s="2" t="s">
        <v>11</v>
      </c>
      <c r="B4" s="2" t="s">
        <v>12</v>
      </c>
    </row>
    <row r="5" spans="1:9" x14ac:dyDescent="0.25">
      <c r="A5" s="2" t="s">
        <v>8</v>
      </c>
      <c r="B5" s="2" t="s">
        <v>54</v>
      </c>
    </row>
    <row r="7" spans="1:9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2" t="s">
        <v>60</v>
      </c>
      <c r="H7" s="2" t="s">
        <v>61</v>
      </c>
      <c r="I7" t="s">
        <v>64</v>
      </c>
    </row>
    <row r="8" spans="1:9" x14ac:dyDescent="0.25">
      <c r="A8" s="4">
        <v>510001</v>
      </c>
      <c r="B8" s="4" t="s">
        <v>55</v>
      </c>
      <c r="C8" s="4">
        <v>319110100</v>
      </c>
      <c r="D8" s="4">
        <v>31909401</v>
      </c>
      <c r="E8" s="5">
        <v>100000000</v>
      </c>
      <c r="G8" s="4">
        <v>31909401</v>
      </c>
    </row>
    <row r="9" spans="1:9" x14ac:dyDescent="0.25">
      <c r="A9" s="4">
        <v>520001</v>
      </c>
      <c r="B9" s="4" t="s">
        <v>55</v>
      </c>
      <c r="C9" s="4">
        <v>211110101</v>
      </c>
      <c r="D9" s="4">
        <v>31909400</v>
      </c>
      <c r="E9" s="5">
        <v>100000000</v>
      </c>
      <c r="G9" s="4">
        <v>31909401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E091-9E5C-4791-A4BE-EEF104B5C796}">
  <dimension ref="A1:I10"/>
  <sheetViews>
    <sheetView workbookViewId="0">
      <selection activeCell="A8" sqref="A8:A12"/>
    </sheetView>
  </sheetViews>
  <sheetFormatPr defaultRowHeight="15" x14ac:dyDescent="0.25"/>
  <cols>
    <col min="1" max="1" width="24.28515625" bestFit="1" customWidth="1"/>
    <col min="2" max="2" width="17.7109375" customWidth="1"/>
    <col min="3" max="3" width="14.28515625" customWidth="1"/>
    <col min="4" max="4" width="13.85546875" customWidth="1"/>
    <col min="5" max="5" width="11.140625" customWidth="1"/>
    <col min="7" max="7" width="10" bestFit="1" customWidth="1"/>
    <col min="8" max="8" width="9.42578125" bestFit="1" customWidth="1"/>
    <col min="9" max="9" width="32.28515625" bestFit="1" customWidth="1"/>
  </cols>
  <sheetData>
    <row r="1" spans="1:9" x14ac:dyDescent="0.25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spans="1:9" x14ac:dyDescent="0.25">
      <c r="A2" s="2" t="s">
        <v>2</v>
      </c>
      <c r="B2" s="2" t="s">
        <v>4</v>
      </c>
      <c r="C2" s="2"/>
      <c r="D2" s="2"/>
      <c r="E2" s="2"/>
      <c r="F2" s="2"/>
      <c r="G2" s="2"/>
      <c r="H2" s="2"/>
      <c r="I2" s="2"/>
    </row>
    <row r="3" spans="1:9" x14ac:dyDescent="0.25">
      <c r="A3" s="2" t="s">
        <v>3</v>
      </c>
      <c r="B3" s="2" t="s">
        <v>10</v>
      </c>
      <c r="C3" s="2"/>
      <c r="D3" s="2"/>
      <c r="E3" s="2"/>
      <c r="F3" s="2"/>
      <c r="G3" s="2"/>
      <c r="H3" s="2"/>
      <c r="I3" s="2"/>
    </row>
    <row r="4" spans="1:9" x14ac:dyDescent="0.25">
      <c r="A4" s="2" t="s">
        <v>11</v>
      </c>
      <c r="B4" s="2" t="s">
        <v>12</v>
      </c>
      <c r="C4" s="2"/>
      <c r="D4" s="2"/>
      <c r="E4" s="2"/>
      <c r="F4" s="2"/>
      <c r="G4" s="2"/>
      <c r="H4" s="2"/>
      <c r="I4" s="2"/>
    </row>
    <row r="5" spans="1:9" x14ac:dyDescent="0.25">
      <c r="A5" s="2" t="s">
        <v>8</v>
      </c>
      <c r="B5" s="2" t="s">
        <v>47</v>
      </c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2" t="s">
        <v>60</v>
      </c>
      <c r="H7" s="2" t="s">
        <v>61</v>
      </c>
      <c r="I7" s="2" t="s">
        <v>64</v>
      </c>
    </row>
    <row r="8" spans="1:9" x14ac:dyDescent="0.25">
      <c r="A8" s="2" t="s">
        <v>48</v>
      </c>
      <c r="B8" s="2" t="s">
        <v>6</v>
      </c>
      <c r="C8" s="2" t="s">
        <v>50</v>
      </c>
      <c r="D8" s="2" t="s">
        <v>52</v>
      </c>
      <c r="E8" s="2">
        <v>100000000</v>
      </c>
      <c r="F8" s="3"/>
      <c r="G8" s="6" t="s">
        <v>69</v>
      </c>
      <c r="I8" s="2" t="s">
        <v>67</v>
      </c>
    </row>
    <row r="9" spans="1:9" x14ac:dyDescent="0.25">
      <c r="A9" s="2" t="s">
        <v>49</v>
      </c>
      <c r="B9" s="2" t="s">
        <v>6</v>
      </c>
      <c r="C9" s="2" t="s">
        <v>51</v>
      </c>
      <c r="D9" s="2" t="s">
        <v>52</v>
      </c>
      <c r="E9" s="2">
        <v>100000000</v>
      </c>
      <c r="F9" s="3"/>
      <c r="G9" s="6" t="s">
        <v>69</v>
      </c>
      <c r="I9" s="2" t="s">
        <v>67</v>
      </c>
    </row>
    <row r="10" spans="1:9" x14ac:dyDescent="0.25">
      <c r="A10" s="2">
        <v>560654</v>
      </c>
      <c r="B10" t="s">
        <v>66</v>
      </c>
      <c r="C10" s="2">
        <v>311210132</v>
      </c>
      <c r="E10" s="2">
        <v>100000000</v>
      </c>
      <c r="G10" s="6" t="s">
        <v>69</v>
      </c>
      <c r="I10" s="2" t="s">
        <v>68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f1ce42f-c57e-4699-9768-bf8c2a029303" xsi:nil="true"/>
    <TaxCatchAll xmlns="a6d483d6-7cde-454f-9700-1dca77a67851" xsi:nil="true"/>
    <lcf76f155ced4ddcb4097134ff3c332f xmlns="5f1ce42f-c57e-4699-9768-bf8c2a02930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85EEB1003B445BFA9C09079EFAE82" ma:contentTypeVersion="18" ma:contentTypeDescription="Create a new document." ma:contentTypeScope="" ma:versionID="fc7322597f9576036aef58f54e8cb3cf">
  <xsd:schema xmlns:xsd="http://www.w3.org/2001/XMLSchema" xmlns:xs="http://www.w3.org/2001/XMLSchema" xmlns:p="http://schemas.microsoft.com/office/2006/metadata/properties" xmlns:ns2="5f1ce42f-c57e-4699-9768-bf8c2a029303" xmlns:ns3="a6d483d6-7cde-454f-9700-1dca77a67851" targetNamespace="http://schemas.microsoft.com/office/2006/metadata/properties" ma:root="true" ma:fieldsID="5a799a2af74b1edde9d6656877136a7d" ns2:_="" ns3:_="">
    <xsd:import namespace="5f1ce42f-c57e-4699-9768-bf8c2a029303"/>
    <xsd:import namespace="a6d483d6-7cde-454f-9700-1dca77a67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ce42f-c57e-4699-9768-bf8c2a029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0763be7-2c5e-4ee0-a9d0-09b2389b8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483d6-7cde-454f-9700-1dca77a67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ea0cd7b-8640-4936-9aa7-ceab169db3a7}" ma:internalName="TaxCatchAll" ma:showField="CatchAllData" ma:web="a6d483d6-7cde-454f-9700-1dca77a67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E36ED0-EFE7-458A-A372-0006E7BF7A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2153BE-D979-47A0-B0D9-EDDF4D616366}">
  <ds:schemaRefs>
    <ds:schemaRef ds:uri="http://schemas.microsoft.com/office/2006/metadata/properties"/>
    <ds:schemaRef ds:uri="http://schemas.microsoft.com/office/infopath/2007/PartnerControls"/>
    <ds:schemaRef ds:uri="5f1ce42f-c57e-4699-9768-bf8c2a029303"/>
    <ds:schemaRef ds:uri="a6d483d6-7cde-454f-9700-1dca77a67851"/>
  </ds:schemaRefs>
</ds:datastoreItem>
</file>

<file path=customXml/itemProps3.xml><?xml version="1.0" encoding="utf-8"?>
<ds:datastoreItem xmlns:ds="http://schemas.openxmlformats.org/officeDocument/2006/customXml" ds:itemID="{753483C5-7AB2-4E13-96E4-824C053094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PRINCIPAL</vt:lpstr>
      <vt:lpstr>SUBSTITUICOES</vt:lpstr>
      <vt:lpstr>BENEFICIOS</vt:lpstr>
      <vt:lpstr>DEA_BENEFÍCIOS</vt:lpstr>
      <vt:lpstr>INDENIZACOES_RESTITUICOES</vt:lpstr>
      <vt:lpstr>INDENIZACOES_PESSOAL</vt:lpstr>
      <vt:lpstr>ADIANTAMENTO_FERIAS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Esquerdo</dc:creator>
  <cp:lastModifiedBy>Fernanda Pscheidt</cp:lastModifiedBy>
  <dcterms:created xsi:type="dcterms:W3CDTF">2025-03-20T03:30:04Z</dcterms:created>
  <dcterms:modified xsi:type="dcterms:W3CDTF">2025-10-16T20:50:25Z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0x010100ACA85EEB1003B445BFA9C09079EFAE82</vt:lpwstr>
  </property>
  <property fmtid="{D5CDD505-2E9C-101B-9397-08002B2CF9AE}" pid="3" name="MediaServiceImageTags">
    <vt:lpwstr/>
  </property>
</Properties>
</file>