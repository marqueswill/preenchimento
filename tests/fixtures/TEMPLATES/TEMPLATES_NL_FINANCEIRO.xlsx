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llyanmarques\Documents\Dev\preenchimento\tests\fixtures\TEMPLATES\"/>
    </mc:Choice>
  </mc:AlternateContent>
  <xr:revisionPtr revIDLastSave="0" documentId="13_ncr:1_{903D792A-FF2F-4DC1-9C03-1C74EC833F11}" xr6:coauthVersionLast="47" xr6:coauthVersionMax="47" xr10:uidLastSave="{00000000-0000-0000-0000-000000000000}"/>
  <bookViews>
    <workbookView xWindow="-28920" yWindow="-120" windowWidth="29040" windowHeight="15720" tabRatio="890" firstSheet="2" activeTab="8" xr2:uid="{00000000-000D-0000-FFFF-FFFF00000000}"/>
  </bookViews>
  <sheets>
    <sheet name="PRINCIPAL" sheetId="3" r:id="rId1"/>
    <sheet name="SUBSTITUICOES" sheetId="4" r:id="rId2"/>
    <sheet name="GRATIF_ENCARGOS_CURSO" sheetId="8" r:id="rId3"/>
    <sheet name="BENEFICIOS_ATIVO" sheetId="5" r:id="rId4"/>
    <sheet name="PROSAUDE_INATIVO" sheetId="9" r:id="rId5"/>
    <sheet name="PROSAUDE_PENSIONISTA" sheetId="11" r:id="rId6"/>
    <sheet name="LIC_PREMIO_APOSENTADOS" sheetId="12" r:id="rId7"/>
    <sheet name="INDENIZ_FERIAS_LIC_COMPENSATORI" sheetId="13" r:id="rId8"/>
    <sheet name="INDENIZAÇÕES_E_RESTITUIÇOES" sheetId="15" r:id="rId9"/>
    <sheet name="DEA_VENCIMENTOS" sheetId="18" r:id="rId10"/>
    <sheet name="DEA_SUBSTITUICOES" sheetId="19" r:id="rId11"/>
    <sheet name="DEA_INDENIZAÇOES" sheetId="20" r:id="rId12"/>
    <sheet name="DEA_BENEFÍCIOS" sheetId="21" r:id="rId13"/>
    <sheet name="RETENCAO_IPREV" sheetId="6" r:id="rId14"/>
    <sheet name="RETENÇAO_IRRF" sheetId="7" r:id="rId15"/>
    <sheet name="PATRONAL_IPREV" sheetId="16" r:id="rId16"/>
    <sheet name="PREVICOM_FACULTATIVA" sheetId="23" r:id="rId17"/>
    <sheet name="ADIANTAMENTO_FERIAS" sheetId="2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3" l="1"/>
  <c r="F9" i="16" l="1"/>
  <c r="F13" i="15"/>
  <c r="F12" i="15"/>
  <c r="F11" i="15"/>
  <c r="F9" i="12" l="1"/>
  <c r="F11" i="13"/>
  <c r="F9" i="13"/>
  <c r="F9" i="9"/>
  <c r="F15" i="5"/>
  <c r="F9" i="11"/>
  <c r="F14" i="5"/>
  <c r="F13" i="5"/>
  <c r="F9" i="8"/>
  <c r="F9" i="6"/>
  <c r="F9" i="4"/>
</calcChain>
</file>

<file path=xl/sharedStrings.xml><?xml version="1.0" encoding="utf-8"?>
<sst xmlns="http://schemas.openxmlformats.org/spreadsheetml/2006/main" count="615" uniqueCount="140">
  <si>
    <t>31901101</t>
  </si>
  <si>
    <t>218820104</t>
  </si>
  <si>
    <t>VALOR</t>
  </si>
  <si>
    <t>31901602</t>
  </si>
  <si>
    <t>31909401</t>
  </si>
  <si>
    <t>33900811</t>
  </si>
  <si>
    <t>33904901</t>
  </si>
  <si>
    <t>33909208</t>
  </si>
  <si>
    <t>33909304</t>
  </si>
  <si>
    <t>33909315</t>
  </si>
  <si>
    <t>33909317</t>
  </si>
  <si>
    <t>Prioridade de Pagamento:</t>
  </si>
  <si>
    <t>F0</t>
  </si>
  <si>
    <t>Credor:</t>
  </si>
  <si>
    <t>4 - UG/Gestão</t>
  </si>
  <si>
    <t>UG/Gestão:</t>
  </si>
  <si>
    <t>Processo</t>
  </si>
  <si>
    <t>00600-0000000001/2025-42</t>
  </si>
  <si>
    <t>Observação</t>
  </si>
  <si>
    <t>EVENTO</t>
  </si>
  <si>
    <t>INSCRIÇÃO</t>
  </si>
  <si>
    <t>CLASS. CONT</t>
  </si>
  <si>
    <t>CLASS. ORC</t>
  </si>
  <si>
    <t>FONTE</t>
  </si>
  <si>
    <t>.</t>
  </si>
  <si>
    <t>020101-00001</t>
  </si>
  <si>
    <t>31901600</t>
  </si>
  <si>
    <t>33900800</t>
  </si>
  <si>
    <t>33904600</t>
  </si>
  <si>
    <t>2025NE08</t>
  </si>
  <si>
    <t>2025NE2025FP0201010</t>
  </si>
  <si>
    <t>211115101</t>
  </si>
  <si>
    <t>2025FP0201010</t>
  </si>
  <si>
    <t>211110101</t>
  </si>
  <si>
    <t>2025NE00121</t>
  </si>
  <si>
    <t>2025NE001212025FP0201010</t>
  </si>
  <si>
    <t>APROPRIAÇÃO DE DESPESA COM VENCIMENTOS NA FOLHA DE PAGAMENTO NORMAL DO MÊS DE &lt;MONTH&gt; DE &lt;YEAR&gt;. FUNDO FINANCEIRO</t>
  </si>
  <si>
    <t>2025NE00113</t>
  </si>
  <si>
    <t>311110201</t>
  </si>
  <si>
    <t>APROPRIAÇÃO DE DESPESA COM SUBSTITUIÇÕES NA FOLHA DE PAGAMENTO NORMAL DO MÊS DE &lt;MONTH&gt;/&lt;YEAR&gt;. FUNDO FINANCEIRO.</t>
  </si>
  <si>
    <t>2025NE00114</t>
  </si>
  <si>
    <t>2025NE00115</t>
  </si>
  <si>
    <t>33903610</t>
  </si>
  <si>
    <t>33903600</t>
  </si>
  <si>
    <t>2025NE00116</t>
  </si>
  <si>
    <t>313111100</t>
  </si>
  <si>
    <t>APROPRIAÇÃO DE DESPESA COM AUXÍLIO PRÓ-SAÚDE NA FOLHA DE PAGAMENTO NORMAL DO MÊS DE &lt;MONTH&gt;/&lt;YEAR&gt;. INATIVOS. FUNDO FINANCEIRO.</t>
  </si>
  <si>
    <t>APROPRIAÇÃO DE DESPESA COM AUXÍLIO PRÓ-SAÚDE NA FOLHA DE PAGAMENTO NORMAL DO MÊS DE &lt;MONTH&gt;/&lt;YEAR&gt;. PENSIONISTA. FUNDO FINANCEIRO.</t>
  </si>
  <si>
    <t>2025NE00119</t>
  </si>
  <si>
    <t>33904900</t>
  </si>
  <si>
    <t>510861</t>
  </si>
  <si>
    <t>590001</t>
  </si>
  <si>
    <t>2025NE00120</t>
  </si>
  <si>
    <t>2025NE001202025FP0201010</t>
  </si>
  <si>
    <t>211115104</t>
  </si>
  <si>
    <t>31909404</t>
  </si>
  <si>
    <t>31909400</t>
  </si>
  <si>
    <t>APROPRIAÇÃO DE DESPESA COM INDENIZAÇÃO DE LICENÇA PRÊMIO NA FOLHA DE PAGAMENTO NORMAL DO MÊS DE &lt;MONTH&gt;/&lt;YEAR&gt;. FUNDO FINANCEIRO.</t>
  </si>
  <si>
    <t>510001</t>
  </si>
  <si>
    <t>520001</t>
  </si>
  <si>
    <t>2025NE00123</t>
  </si>
  <si>
    <t>2025NE00122</t>
  </si>
  <si>
    <t>APROPRIAÇÃO DE DESPESA COM INDENIZAÇÕES DE FÉRIAS E LICENÇA COMPENSATÓRIA NA FOLHA DE PAGAMENTO NORMAL DO MÊS DE &lt;MONTH&gt;/&lt;YEAR&gt;. FUNDO FINANCEIRO.</t>
  </si>
  <si>
    <t>APROPRIAÇÃO DE DESPESA COM INDENIZAÇÕES E RESTITUIÇÕES (TELEFONIA, CURSOS E TRANSPORTE) NA FOLHA DE PAGAMENTO NORMAL DO MÊS DE &lt;MONTH&gt;/&lt;YEAR&gt;. FUNDO FINANCEIRO.</t>
  </si>
  <si>
    <t>2025NE00126</t>
  </si>
  <si>
    <t>2025NE00124</t>
  </si>
  <si>
    <t>2025NE00125</t>
  </si>
  <si>
    <t>320203-32203</t>
  </si>
  <si>
    <t>520255</t>
  </si>
  <si>
    <t>311110101</t>
  </si>
  <si>
    <t>421110201</t>
  </si>
  <si>
    <t>520264</t>
  </si>
  <si>
    <t>130101-00001</t>
  </si>
  <si>
    <t>510602</t>
  </si>
  <si>
    <t>520015</t>
  </si>
  <si>
    <t>2025NE00109</t>
  </si>
  <si>
    <t>312120100</t>
  </si>
  <si>
    <t>31911308</t>
  </si>
  <si>
    <t>211420100</t>
  </si>
  <si>
    <t>RETENÇÃO DO IMPOSTO DE RENDA CORRESPONDENTE AOS SERVIDORES ATIVOS- FOLHA NORMAL DO MÊS DE &lt;MONTH&gt;/&lt;YEAR&gt;. FUNDO FINANCEIRO.</t>
  </si>
  <si>
    <t>RETENÇÃO DE CONTRIBUIÇÃO PREVIDENCIÁRIA DEVIDA AO IPREV-DF, REFERENTE À FOLHA NORMAL DO MÊS DE &lt;MONTH&gt;/&lt;YEAR&gt;. FUNDO FINANCEIRO.</t>
  </si>
  <si>
    <t>APROP DESP C/ OBRIGAÇÕES PATRONAIS RELAT. AOS SERVIDORES ATIVOS - IPREV/DF- LC Nº 932/2017. FOLHA DE PAGTO NORMAL DO MÊS DE  &lt;MONTH&gt;/&lt;YEAR&gt;. COMPETÊNCIA: MÊS ATUAL (R$ XX,XX); 13° SAL. (R$ XX,XX). FUNDO FINANCEIRO.</t>
  </si>
  <si>
    <t xml:space="preserve">PROVISÃO E APROPRIAÇÃO DE DESPESA DE EXERCÍCIOS ANTERIORES REF. A REMUNERAÇÕES NA FOLHA NORMAL DO MÊS DE &lt;MONTH&gt;/&lt;YEAR&gt;. FUNDO FINANCEIRO. </t>
  </si>
  <si>
    <t>510741</t>
  </si>
  <si>
    <t>850003</t>
  </si>
  <si>
    <t>2025NE11</t>
  </si>
  <si>
    <t>31909211</t>
  </si>
  <si>
    <t>31909200</t>
  </si>
  <si>
    <t>31909216</t>
  </si>
  <si>
    <t>2025NE16</t>
  </si>
  <si>
    <t xml:space="preserve">PROVISÃO E APROPRIAÇÃO DE DESPESA DE EXERCÍCIOS ANTERIORES REF. A SUBSTITUIÇÃO NA FOLHA NORMAL DO MÊS DE &lt;MONTH&gt;/&lt;YEAR&gt;. FUNDO FINANCEIRO. </t>
  </si>
  <si>
    <t>31909294</t>
  </si>
  <si>
    <t>2025NE94</t>
  </si>
  <si>
    <t xml:space="preserve">PROVISÃO E APROPRIAÇÃO DE DESPESA DE EXERCÍCIOS ANTERIORES REF. A INDENIZAÇÕES DE PESSOAL NA FOLHA NORMAL DO MÊS DE &lt;MONTH&gt;/&lt;YEAR&gt;. FUNDO FINANCEIRO. </t>
  </si>
  <si>
    <t xml:space="preserve">PROVISÃO E APROPRIAÇÃO DE DESPESA DE EXERCÍCIOS ANTERIORES REF. A BENEFÍCIOS DE PESSOAL NA FOLHA NORMAL DO MÊS DE &lt;MONTH&gt;/&lt;YEAR&gt;. FUNDO FINANCEIRO. </t>
  </si>
  <si>
    <t>2025NE2025FP0201011</t>
  </si>
  <si>
    <t>2025NE2025FP0201012</t>
  </si>
  <si>
    <t>2025FP0201011</t>
  </si>
  <si>
    <t>2025FP0201012</t>
  </si>
  <si>
    <t>590004</t>
  </si>
  <si>
    <t>48307687000139</t>
  </si>
  <si>
    <t>520208</t>
  </si>
  <si>
    <t>218810111</t>
  </si>
  <si>
    <t>SOMAR</t>
  </si>
  <si>
    <t>SUBTRAIR</t>
  </si>
  <si>
    <t>331901131, 331901132</t>
  </si>
  <si>
    <t>421110201, 218820104, 218810111</t>
  </si>
  <si>
    <t>421110201, 218820104, 218810199, 218810110, 218810111</t>
  </si>
  <si>
    <t>2 - CNPJ</t>
  </si>
  <si>
    <t>TIPO</t>
  </si>
  <si>
    <t>INATIVO</t>
  </si>
  <si>
    <t>33900855, 33900811, 33900805</t>
  </si>
  <si>
    <t>PENSIONISTA</t>
  </si>
  <si>
    <t>COMPENSATÓRIA</t>
  </si>
  <si>
    <t>ATIVO</t>
  </si>
  <si>
    <t>33900805</t>
  </si>
  <si>
    <t>MANUAL</t>
  </si>
  <si>
    <t>2025NE00974</t>
  </si>
  <si>
    <t>2025NE00974FP0201010</t>
  </si>
  <si>
    <t>2025NE0097448307687000139</t>
  </si>
  <si>
    <t>RETENÇÃO DE VALOR DE PREVIDÊNCIA P/ DF-PREVICOM - CONTRIBUIÇÃO FACULTATIVA NA FOLHA DE PAGTO NORMAL DO MÊS DE  &lt;MONTH&gt;/&lt;YEAR&gt;. FUNDO FINANCEIRO. PROCESSOS 14672/2022 E 3658/2024</t>
  </si>
  <si>
    <t>331901101</t>
  </si>
  <si>
    <t>331901113</t>
  </si>
  <si>
    <t>311110121</t>
  </si>
  <si>
    <t xml:space="preserve">313111300 </t>
  </si>
  <si>
    <t>2025NE00974320203-32203</t>
  </si>
  <si>
    <t>311110162</t>
  </si>
  <si>
    <t>331901157</t>
  </si>
  <si>
    <t>331901101, 331901141, 331901195, 331901107, 331901134, 331901104, 331901102, 331901156, 331901123, 331901113, 331901157</t>
  </si>
  <si>
    <t>2025NE00117</t>
  </si>
  <si>
    <t>2025NE00118</t>
  </si>
  <si>
    <t>APROPRIAÇÃO DE DESPESA COM SERVIÇOS DE SELEÇÃO E TREINAMENTO NA FOLHA DE PAGAMENTO NORMAL DO MÊS DE &lt;MONTH&gt;/&lt;YEAR&gt;. FUNDO FINANCEIRO.</t>
  </si>
  <si>
    <t>510005</t>
  </si>
  <si>
    <t>515001</t>
  </si>
  <si>
    <t>FP0201010</t>
  </si>
  <si>
    <t>AJUSTE DE DESPESA NA FOLHA DE PAGAMENTO NORMAL DO MÊS DE &lt;MONTH&gt;/&lt;YEAR&gt; REFERENTE AOS PROVISIONAMENTOS DE ADIANTAMENTO DE FÉRIAS. FUNDO FINANCEIRO.</t>
  </si>
  <si>
    <t>APROPRIAÇÃO DE DESPESA COM BENEFÍCIOS (PRÓ-SAÚDE, AUXÍLIO-CRECHE, AUXÍLIO-ALIMENTAÇÃO) NA FOLHA DE PAGAMENTO NORMAL DO MÊS DE &lt;MONTH&gt;/&lt;YEAR&gt;. FUNDO FINANCEIRO.</t>
  </si>
  <si>
    <t>tudo que for desconto de adiantamento de férias</t>
  </si>
  <si>
    <t>tudo que for proventos de adiantamento de férias</t>
  </si>
  <si>
    <t>33909300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</si>
</sst>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/>
  </cellXfs>
  <cellStyles count="2">
    <cellStyle name="Normal" xfId="0" builtinId="0"/>
    <cellStyle name="Normal 3" xfId="1" xr:uid="{00000000-0005-0000-0000-000001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workbookViewId="0">
      <selection activeCell="A19" sqref="A19:G19"/>
    </sheetView>
  </sheetViews>
  <sheetFormatPr defaultRowHeight="15" x14ac:dyDescent="0.25"/>
  <cols>
    <col min="1" max="1" width="24.28515625" style="2" bestFit="1" customWidth="1"/>
    <col min="2" max="2" width="27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111" style="2" customWidth="1"/>
    <col min="8" max="8" width="51.42578125" style="2" bestFit="1" customWidth="1"/>
    <col min="10" max="11" width="12.5703125" bestFit="1" customWidth="1"/>
  </cols>
  <sheetData>
    <row r="1" spans="1:12" x14ac:dyDescent="0.25">
      <c r="A1" s="2" t="s">
        <v>11</v>
      </c>
      <c r="B1" s="2" t="s">
        <v>12</v>
      </c>
    </row>
    <row r="2" spans="1:12" x14ac:dyDescent="0.25">
      <c r="A2" s="2" t="s">
        <v>13</v>
      </c>
      <c r="B2" s="2" t="s">
        <v>14</v>
      </c>
    </row>
    <row r="3" spans="1:12" x14ac:dyDescent="0.25">
      <c r="A3" s="2" t="s">
        <v>15</v>
      </c>
      <c r="B3" s="2" t="s">
        <v>25</v>
      </c>
    </row>
    <row r="4" spans="1:12" x14ac:dyDescent="0.25">
      <c r="A4" s="2" t="s">
        <v>16</v>
      </c>
      <c r="B4" s="2" t="s">
        <v>17</v>
      </c>
    </row>
    <row r="5" spans="1:12" x14ac:dyDescent="0.25">
      <c r="A5" s="2" t="s">
        <v>18</v>
      </c>
      <c r="B5" s="2" t="s">
        <v>36</v>
      </c>
    </row>
    <row r="7" spans="1:12" x14ac:dyDescent="0.2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</v>
      </c>
      <c r="G7" s="2" t="s">
        <v>103</v>
      </c>
      <c r="H7" s="2" t="s">
        <v>104</v>
      </c>
      <c r="I7" s="2" t="s">
        <v>109</v>
      </c>
    </row>
    <row r="8" spans="1:12" x14ac:dyDescent="0.25">
      <c r="A8" s="2">
        <v>510001</v>
      </c>
      <c r="B8" s="2" t="s">
        <v>117</v>
      </c>
      <c r="C8" s="2">
        <v>311110101</v>
      </c>
      <c r="D8" s="2">
        <v>331901101</v>
      </c>
      <c r="E8" s="2">
        <v>100000000</v>
      </c>
      <c r="G8" s="2" t="s">
        <v>121</v>
      </c>
      <c r="H8" s="2" t="s">
        <v>106</v>
      </c>
    </row>
    <row r="9" spans="1:12" x14ac:dyDescent="0.25">
      <c r="A9" s="2">
        <v>510001</v>
      </c>
      <c r="B9" s="2" t="s">
        <v>117</v>
      </c>
      <c r="C9" s="2">
        <v>311110103</v>
      </c>
      <c r="D9" s="2">
        <v>331901141</v>
      </c>
      <c r="E9" s="2">
        <v>100000000</v>
      </c>
      <c r="G9" s="2">
        <v>331901141</v>
      </c>
    </row>
    <row r="10" spans="1:12" x14ac:dyDescent="0.25">
      <c r="A10" s="2">
        <v>510001</v>
      </c>
      <c r="B10" s="2" t="s">
        <v>117</v>
      </c>
      <c r="C10" s="2">
        <v>311110104</v>
      </c>
      <c r="D10" s="2">
        <v>331901195</v>
      </c>
      <c r="E10" s="2">
        <v>100000000</v>
      </c>
      <c r="G10" s="2">
        <v>331901195</v>
      </c>
    </row>
    <row r="11" spans="1:12" x14ac:dyDescent="0.25">
      <c r="A11" s="2">
        <v>510001</v>
      </c>
      <c r="B11" s="2" t="s">
        <v>117</v>
      </c>
      <c r="C11" s="2">
        <v>311110106</v>
      </c>
      <c r="D11" s="2">
        <v>331901107</v>
      </c>
      <c r="E11" s="2">
        <v>100000000</v>
      </c>
      <c r="G11" s="2">
        <v>331901107</v>
      </c>
    </row>
    <row r="12" spans="1:12" x14ac:dyDescent="0.25">
      <c r="A12" s="2">
        <v>510001</v>
      </c>
      <c r="B12" s="2" t="s">
        <v>117</v>
      </c>
      <c r="C12" s="2">
        <v>311110112</v>
      </c>
      <c r="D12" s="2">
        <v>331901134</v>
      </c>
      <c r="E12" s="2">
        <v>100000000</v>
      </c>
      <c r="G12" s="2">
        <v>331901134</v>
      </c>
    </row>
    <row r="13" spans="1:12" x14ac:dyDescent="0.25">
      <c r="A13" s="2">
        <v>510001</v>
      </c>
      <c r="B13" s="2" t="s">
        <v>117</v>
      </c>
      <c r="C13" s="2">
        <v>311110118</v>
      </c>
      <c r="D13" s="2">
        <v>331901104</v>
      </c>
      <c r="E13" s="2">
        <v>100000000</v>
      </c>
      <c r="G13" s="2">
        <v>331901104</v>
      </c>
    </row>
    <row r="14" spans="1:12" x14ac:dyDescent="0.25">
      <c r="A14" s="2">
        <v>510001</v>
      </c>
      <c r="B14" s="2" t="s">
        <v>117</v>
      </c>
      <c r="C14" s="2">
        <v>311110122</v>
      </c>
      <c r="D14" s="2">
        <v>331901121</v>
      </c>
      <c r="E14" s="2">
        <v>100000000</v>
      </c>
      <c r="G14" s="2">
        <v>331901121</v>
      </c>
    </row>
    <row r="15" spans="1:12" x14ac:dyDescent="0.25">
      <c r="A15" s="2">
        <v>510001</v>
      </c>
      <c r="B15" s="2" t="s">
        <v>117</v>
      </c>
      <c r="C15" s="2">
        <v>311110123</v>
      </c>
      <c r="D15" s="2">
        <v>331901131</v>
      </c>
      <c r="E15" s="2">
        <v>100000000</v>
      </c>
      <c r="G15" s="2">
        <v>331901131</v>
      </c>
      <c r="J15" s="1"/>
      <c r="K15" s="1"/>
      <c r="L15" s="1"/>
    </row>
    <row r="16" spans="1:12" x14ac:dyDescent="0.25">
      <c r="A16" s="2">
        <v>510001</v>
      </c>
      <c r="B16" s="2" t="s">
        <v>117</v>
      </c>
      <c r="C16" s="2">
        <v>311110124</v>
      </c>
      <c r="D16" s="2">
        <v>331901132</v>
      </c>
      <c r="E16" s="2">
        <v>100000000</v>
      </c>
      <c r="G16" s="2">
        <v>331901132</v>
      </c>
    </row>
    <row r="17" spans="1:8" x14ac:dyDescent="0.25">
      <c r="A17" s="2">
        <v>510001</v>
      </c>
      <c r="B17" s="2" t="s">
        <v>117</v>
      </c>
      <c r="C17" s="2">
        <v>311110132</v>
      </c>
      <c r="D17" s="2">
        <v>331901102</v>
      </c>
      <c r="E17" s="2">
        <v>100000000</v>
      </c>
      <c r="G17" s="2">
        <v>331901102</v>
      </c>
    </row>
    <row r="18" spans="1:8" x14ac:dyDescent="0.25">
      <c r="A18" s="2" t="s">
        <v>58</v>
      </c>
      <c r="B18" s="2" t="s">
        <v>117</v>
      </c>
      <c r="C18" s="2" t="s">
        <v>126</v>
      </c>
      <c r="D18" s="2" t="s">
        <v>127</v>
      </c>
      <c r="E18" s="2">
        <v>100000000</v>
      </c>
      <c r="G18" s="2" t="s">
        <v>127</v>
      </c>
    </row>
    <row r="19" spans="1:8" x14ac:dyDescent="0.25">
      <c r="A19" s="2">
        <v>510001</v>
      </c>
      <c r="B19" s="2" t="s">
        <v>117</v>
      </c>
      <c r="C19" s="2">
        <v>311110132</v>
      </c>
      <c r="D19" s="2">
        <v>331901156</v>
      </c>
      <c r="E19" s="2">
        <v>100000000</v>
      </c>
      <c r="G19" s="2">
        <v>331901156</v>
      </c>
    </row>
    <row r="20" spans="1:8" x14ac:dyDescent="0.25">
      <c r="A20" s="2">
        <v>510001</v>
      </c>
      <c r="B20" s="2" t="s">
        <v>117</v>
      </c>
      <c r="C20" s="2">
        <v>311110146</v>
      </c>
      <c r="D20" s="2">
        <v>331901123</v>
      </c>
      <c r="E20" s="2">
        <v>100000000</v>
      </c>
      <c r="G20" s="2">
        <v>331901123</v>
      </c>
    </row>
    <row r="21" spans="1:8" x14ac:dyDescent="0.25">
      <c r="A21" s="2">
        <v>510001</v>
      </c>
      <c r="B21" s="2" t="s">
        <v>117</v>
      </c>
      <c r="C21" s="2" t="s">
        <v>123</v>
      </c>
      <c r="D21" s="2" t="s">
        <v>122</v>
      </c>
      <c r="E21" s="2">
        <v>100000000</v>
      </c>
      <c r="G21" s="2" t="s">
        <v>122</v>
      </c>
    </row>
    <row r="22" spans="1:8" x14ac:dyDescent="0.25">
      <c r="A22" s="2">
        <v>510861</v>
      </c>
      <c r="B22" s="2" t="s">
        <v>34</v>
      </c>
      <c r="C22" s="2" t="s">
        <v>24</v>
      </c>
      <c r="D22" s="2">
        <v>331901125</v>
      </c>
      <c r="E22" s="2">
        <v>100000000</v>
      </c>
      <c r="G22" s="2">
        <v>331901125</v>
      </c>
    </row>
    <row r="23" spans="1:8" x14ac:dyDescent="0.25">
      <c r="A23" s="2">
        <v>520001</v>
      </c>
      <c r="B23" s="2" t="s">
        <v>117</v>
      </c>
      <c r="C23" s="2">
        <v>211110101</v>
      </c>
      <c r="D23" s="2">
        <v>331901100</v>
      </c>
      <c r="E23" s="2">
        <v>100000000</v>
      </c>
      <c r="G23" s="2" t="s">
        <v>128</v>
      </c>
      <c r="H23" s="2" t="s">
        <v>107</v>
      </c>
    </row>
    <row r="24" spans="1:8" x14ac:dyDescent="0.25">
      <c r="A24" s="2">
        <v>520001</v>
      </c>
      <c r="B24" s="2" t="s">
        <v>117</v>
      </c>
      <c r="C24" s="2">
        <v>211110102</v>
      </c>
      <c r="D24" s="2">
        <v>331901100</v>
      </c>
      <c r="E24" s="2">
        <v>100000000</v>
      </c>
      <c r="G24" s="2">
        <v>331901121</v>
      </c>
    </row>
    <row r="25" spans="1:8" x14ac:dyDescent="0.25">
      <c r="A25" s="2">
        <v>520001</v>
      </c>
      <c r="B25" s="2" t="s">
        <v>117</v>
      </c>
      <c r="C25" s="2">
        <v>211110103</v>
      </c>
      <c r="D25" s="2">
        <v>331901100</v>
      </c>
      <c r="E25" s="2">
        <v>100000000</v>
      </c>
      <c r="G25" s="2" t="s">
        <v>105</v>
      </c>
    </row>
    <row r="26" spans="1:8" x14ac:dyDescent="0.25">
      <c r="A26" s="2">
        <v>520206</v>
      </c>
      <c r="B26" s="2" t="s">
        <v>118</v>
      </c>
      <c r="C26" s="2">
        <v>218810110</v>
      </c>
      <c r="D26" s="2" t="s">
        <v>24</v>
      </c>
      <c r="E26" s="2">
        <v>100000000</v>
      </c>
      <c r="G26" s="2">
        <v>218810110</v>
      </c>
    </row>
    <row r="27" spans="1:8" x14ac:dyDescent="0.25">
      <c r="A27" s="2">
        <v>520222</v>
      </c>
      <c r="B27" s="2" t="s">
        <v>118</v>
      </c>
      <c r="C27" s="2">
        <v>218810199</v>
      </c>
      <c r="D27" s="2" t="s">
        <v>24</v>
      </c>
      <c r="E27" s="2">
        <v>100000000</v>
      </c>
      <c r="G27" s="2">
        <v>218810199</v>
      </c>
    </row>
    <row r="28" spans="1:8" x14ac:dyDescent="0.25">
      <c r="A28" s="2">
        <v>590001</v>
      </c>
      <c r="B28" s="2" t="s">
        <v>35</v>
      </c>
      <c r="C28" s="2">
        <v>211115104</v>
      </c>
      <c r="D28" s="2">
        <v>331901100</v>
      </c>
      <c r="E28" s="2">
        <v>100000000</v>
      </c>
      <c r="G28" s="2">
        <v>331901125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topLeftCell="A2" workbookViewId="0">
      <selection activeCell="I7" sqref="I7"/>
    </sheetView>
  </sheetViews>
  <sheetFormatPr defaultRowHeight="15" x14ac:dyDescent="0.25"/>
  <cols>
    <col min="1" max="1" width="24.28515625" style="2" bestFit="1" customWidth="1"/>
    <col min="2" max="2" width="13.7109375" style="2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9" width="9.140625" style="2" customWidth="1"/>
  </cols>
  <sheetData>
    <row r="1" spans="1:9" x14ac:dyDescent="0.25">
      <c r="A1" s="2" t="s">
        <v>11</v>
      </c>
      <c r="B1" s="2" t="s">
        <v>12</v>
      </c>
    </row>
    <row r="2" spans="1:9" x14ac:dyDescent="0.25">
      <c r="A2" s="2" t="s">
        <v>13</v>
      </c>
      <c r="B2" s="2" t="s">
        <v>14</v>
      </c>
    </row>
    <row r="3" spans="1:9" x14ac:dyDescent="0.25">
      <c r="A3" s="2" t="s">
        <v>15</v>
      </c>
      <c r="B3" s="2" t="s">
        <v>25</v>
      </c>
    </row>
    <row r="4" spans="1:9" x14ac:dyDescent="0.25">
      <c r="A4" s="2" t="s">
        <v>16</v>
      </c>
      <c r="B4" s="2" t="s">
        <v>17</v>
      </c>
    </row>
    <row r="5" spans="1:9" x14ac:dyDescent="0.25">
      <c r="A5" s="2" t="s">
        <v>18</v>
      </c>
      <c r="B5" s="2" t="s">
        <v>39</v>
      </c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>
        <v>510001</v>
      </c>
      <c r="B8" s="2" t="s">
        <v>37</v>
      </c>
      <c r="C8" s="2" t="s">
        <v>38</v>
      </c>
      <c r="D8" s="2" t="s">
        <v>3</v>
      </c>
      <c r="E8" s="2">
        <v>100000000</v>
      </c>
      <c r="G8" s="2" t="s">
        <v>3</v>
      </c>
    </row>
    <row r="9" spans="1:9" x14ac:dyDescent="0.25">
      <c r="A9" s="2">
        <v>520001</v>
      </c>
      <c r="B9" s="2" t="s">
        <v>37</v>
      </c>
      <c r="C9" s="2">
        <v>211110101</v>
      </c>
      <c r="D9" s="2" t="s">
        <v>26</v>
      </c>
      <c r="E9" s="2">
        <v>100000000</v>
      </c>
      <c r="F9" s="2">
        <f>F8</f>
        <v>0</v>
      </c>
      <c r="G9" s="2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AF06-EDA0-48B3-9082-81CBF5457E47}">
  <dimension ref="A1:I9"/>
  <sheetViews>
    <sheetView workbookViewId="0">
      <selection activeCell="D8" sqref="D8"/>
    </sheetView>
  </sheetViews>
  <sheetFormatPr defaultRowHeight="15" x14ac:dyDescent="0.25"/>
  <cols>
    <col min="1" max="1" width="24.28515625" style="2" bestFit="1" customWidth="1"/>
    <col min="2" max="2" width="13.7109375" style="2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9" width="9.140625" style="2" customWidth="1"/>
  </cols>
  <sheetData>
    <row r="1" spans="1:9" x14ac:dyDescent="0.25">
      <c r="A1" s="2" t="s">
        <v>11</v>
      </c>
      <c r="B1" s="2" t="s">
        <v>12</v>
      </c>
    </row>
    <row r="2" spans="1:9" x14ac:dyDescent="0.25">
      <c r="A2" s="2" t="s">
        <v>13</v>
      </c>
      <c r="B2" s="2" t="s">
        <v>14</v>
      </c>
    </row>
    <row r="3" spans="1:9" x14ac:dyDescent="0.25">
      <c r="A3" s="2" t="s">
        <v>15</v>
      </c>
      <c r="B3" s="2" t="s">
        <v>25</v>
      </c>
    </row>
    <row r="4" spans="1:9" x14ac:dyDescent="0.25">
      <c r="A4" s="2" t="s">
        <v>16</v>
      </c>
      <c r="B4" s="2" t="s">
        <v>17</v>
      </c>
    </row>
    <row r="5" spans="1:9" x14ac:dyDescent="0.25">
      <c r="A5" s="2" t="s">
        <v>18</v>
      </c>
      <c r="B5" s="2" t="s">
        <v>131</v>
      </c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>
        <v>510010</v>
      </c>
      <c r="B8" s="2" t="s">
        <v>40</v>
      </c>
      <c r="C8" s="2">
        <v>332210600</v>
      </c>
      <c r="D8" s="2" t="s">
        <v>42</v>
      </c>
      <c r="E8" s="2">
        <v>100100000</v>
      </c>
      <c r="G8" s="2" t="s">
        <v>42</v>
      </c>
    </row>
    <row r="9" spans="1:9" x14ac:dyDescent="0.25">
      <c r="A9" s="2">
        <v>520001</v>
      </c>
      <c r="B9" s="2" t="s">
        <v>40</v>
      </c>
      <c r="C9" s="2">
        <v>211110101</v>
      </c>
      <c r="D9" s="2" t="s">
        <v>43</v>
      </c>
      <c r="E9" s="2">
        <v>100100000</v>
      </c>
      <c r="F9" s="2">
        <f>F8</f>
        <v>0</v>
      </c>
      <c r="G9" s="2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>
      <selection activeCell="E18" sqref="E18"/>
    </sheetView>
  </sheetViews>
  <sheetFormatPr defaultRowHeight="15" x14ac:dyDescent="0.25"/>
  <cols>
    <col min="1" max="1" width="24.28515625" style="2" bestFit="1" customWidth="1"/>
    <col min="2" max="2" width="13.140625" style="2" bestFit="1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6" width="10.5703125" style="2" bestFit="1" customWidth="1"/>
    <col min="7" max="7" width="35.140625" style="2" bestFit="1" customWidth="1"/>
    <col min="8" max="8" width="12.85546875" style="2" customWidth="1"/>
    <col min="9" max="9" width="9.140625" style="2" customWidth="1"/>
  </cols>
  <sheetData>
    <row r="1" spans="1:9" x14ac:dyDescent="0.25">
      <c r="A1" s="2" t="s">
        <v>11</v>
      </c>
      <c r="B1" s="2" t="s">
        <v>12</v>
      </c>
    </row>
    <row r="2" spans="1:9" x14ac:dyDescent="0.25">
      <c r="A2" s="2" t="s">
        <v>13</v>
      </c>
      <c r="B2" s="2" t="s">
        <v>14</v>
      </c>
    </row>
    <row r="3" spans="1:9" x14ac:dyDescent="0.25">
      <c r="A3" s="2" t="s">
        <v>15</v>
      </c>
      <c r="B3" s="2" t="s">
        <v>25</v>
      </c>
    </row>
    <row r="4" spans="1:9" x14ac:dyDescent="0.25">
      <c r="A4" s="2" t="s">
        <v>16</v>
      </c>
      <c r="B4" s="2" t="s">
        <v>17</v>
      </c>
    </row>
    <row r="5" spans="1:9" x14ac:dyDescent="0.25">
      <c r="A5" s="2" t="s">
        <v>18</v>
      </c>
      <c r="B5" s="2" t="s">
        <v>136</v>
      </c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>
        <v>510010</v>
      </c>
      <c r="B8" s="2" t="s">
        <v>41</v>
      </c>
      <c r="C8" s="2">
        <v>329110300</v>
      </c>
      <c r="D8" s="2" t="s">
        <v>115</v>
      </c>
      <c r="E8" s="2">
        <v>100000000</v>
      </c>
      <c r="F8" s="4"/>
      <c r="G8" s="2" t="s">
        <v>115</v>
      </c>
    </row>
    <row r="9" spans="1:9" x14ac:dyDescent="0.25">
      <c r="A9" s="2">
        <v>510010</v>
      </c>
      <c r="B9" s="2" t="s">
        <v>41</v>
      </c>
      <c r="C9" s="2">
        <v>313111100</v>
      </c>
      <c r="D9" s="2">
        <v>33900811</v>
      </c>
      <c r="E9" s="2">
        <v>100000000</v>
      </c>
      <c r="F9" s="4"/>
      <c r="G9" s="2">
        <v>33900811</v>
      </c>
    </row>
    <row r="10" spans="1:9" x14ac:dyDescent="0.25">
      <c r="A10" s="2">
        <v>510010</v>
      </c>
      <c r="B10" s="2" t="s">
        <v>41</v>
      </c>
      <c r="C10" s="2">
        <v>313110600</v>
      </c>
      <c r="D10" s="2">
        <v>33900855</v>
      </c>
      <c r="E10" s="2">
        <v>100000000</v>
      </c>
      <c r="F10" s="4"/>
      <c r="G10" s="2">
        <v>33900855</v>
      </c>
    </row>
    <row r="11" spans="1:9" x14ac:dyDescent="0.25">
      <c r="A11" s="2">
        <v>510051</v>
      </c>
      <c r="B11" s="5" t="s">
        <v>130</v>
      </c>
      <c r="C11" s="2">
        <v>313110100</v>
      </c>
      <c r="D11" s="2">
        <v>33904602</v>
      </c>
      <c r="E11" s="2">
        <v>100000000</v>
      </c>
      <c r="F11" s="4"/>
      <c r="G11" s="2">
        <v>33904602</v>
      </c>
    </row>
    <row r="12" spans="1:9" x14ac:dyDescent="0.25">
      <c r="A12" s="2">
        <v>510054</v>
      </c>
      <c r="B12" s="2" t="s">
        <v>48</v>
      </c>
      <c r="C12" s="2">
        <v>313110200</v>
      </c>
      <c r="D12" s="2" t="s">
        <v>6</v>
      </c>
      <c r="E12" s="2">
        <v>100000000</v>
      </c>
      <c r="F12" s="4"/>
      <c r="G12" s="2" t="s">
        <v>6</v>
      </c>
    </row>
    <row r="13" spans="1:9" x14ac:dyDescent="0.25">
      <c r="A13" s="2">
        <v>520001</v>
      </c>
      <c r="B13" s="2" t="s">
        <v>41</v>
      </c>
      <c r="C13" s="2">
        <v>211110101</v>
      </c>
      <c r="D13" s="2" t="s">
        <v>27</v>
      </c>
      <c r="E13" s="2">
        <v>100000000</v>
      </c>
      <c r="F13" s="4">
        <f>F8+F9+F10</f>
        <v>0</v>
      </c>
      <c r="G13" s="2" t="s">
        <v>111</v>
      </c>
    </row>
    <row r="14" spans="1:9" x14ac:dyDescent="0.25">
      <c r="A14" s="2">
        <v>520001</v>
      </c>
      <c r="B14" s="5" t="s">
        <v>130</v>
      </c>
      <c r="C14" s="2">
        <v>211110101</v>
      </c>
      <c r="D14" s="2" t="s">
        <v>28</v>
      </c>
      <c r="E14" s="2">
        <v>100000000</v>
      </c>
      <c r="F14" s="4">
        <f>F11</f>
        <v>0</v>
      </c>
      <c r="G14" s="2">
        <v>33904602</v>
      </c>
    </row>
    <row r="15" spans="1:9" x14ac:dyDescent="0.25">
      <c r="A15" s="2">
        <v>520001</v>
      </c>
      <c r="B15" s="2" t="s">
        <v>48</v>
      </c>
      <c r="C15" s="2">
        <v>211110101</v>
      </c>
      <c r="D15" s="2" t="s">
        <v>49</v>
      </c>
      <c r="E15" s="2">
        <v>100000000</v>
      </c>
      <c r="F15" s="4">
        <f>F12</f>
        <v>0</v>
      </c>
      <c r="G15" s="2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BACC-F46E-4E31-92D6-4A5AE7190EC3}">
  <dimension ref="A1:I9"/>
  <sheetViews>
    <sheetView workbookViewId="0">
      <selection activeCell="I8" sqref="I8:I9"/>
    </sheetView>
  </sheetViews>
  <sheetFormatPr defaultRowHeight="15" x14ac:dyDescent="0.25"/>
  <cols>
    <col min="1" max="1" width="24.28515625" style="2" bestFit="1" customWidth="1"/>
    <col min="2" max="2" width="13.140625" style="2" bestFit="1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6" width="10.5703125" style="2" bestFit="1" customWidth="1"/>
    <col min="7" max="7" width="16.85546875" style="2" bestFit="1" customWidth="1"/>
    <col min="8" max="9" width="9.140625" style="2" customWidth="1"/>
  </cols>
  <sheetData>
    <row r="1" spans="1:9" x14ac:dyDescent="0.25">
      <c r="A1" s="2" t="s">
        <v>11</v>
      </c>
      <c r="B1" s="2" t="s">
        <v>12</v>
      </c>
    </row>
    <row r="2" spans="1:9" x14ac:dyDescent="0.25">
      <c r="A2" s="2" t="s">
        <v>13</v>
      </c>
      <c r="B2" s="2" t="s">
        <v>14</v>
      </c>
    </row>
    <row r="3" spans="1:9" x14ac:dyDescent="0.25">
      <c r="A3" s="2" t="s">
        <v>15</v>
      </c>
      <c r="B3" s="2" t="s">
        <v>25</v>
      </c>
    </row>
    <row r="4" spans="1:9" x14ac:dyDescent="0.25">
      <c r="A4" s="2" t="s">
        <v>16</v>
      </c>
      <c r="B4" s="2" t="s">
        <v>17</v>
      </c>
    </row>
    <row r="5" spans="1:9" x14ac:dyDescent="0.25">
      <c r="A5" s="2" t="s">
        <v>18</v>
      </c>
      <c r="B5" s="2" t="s">
        <v>46</v>
      </c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>
        <v>510010</v>
      </c>
      <c r="B8" s="2" t="s">
        <v>44</v>
      </c>
      <c r="C8" s="2" t="s">
        <v>45</v>
      </c>
      <c r="D8" s="2" t="s">
        <v>5</v>
      </c>
      <c r="E8" s="2">
        <v>100000000</v>
      </c>
      <c r="F8" s="3"/>
      <c r="G8" s="2" t="s">
        <v>5</v>
      </c>
      <c r="I8" s="2" t="s">
        <v>110</v>
      </c>
    </row>
    <row r="9" spans="1:9" s="2" customFormat="1" x14ac:dyDescent="0.25">
      <c r="A9" s="2">
        <v>520001</v>
      </c>
      <c r="B9" s="2" t="s">
        <v>44</v>
      </c>
      <c r="C9" s="2">
        <v>211110101</v>
      </c>
      <c r="D9" s="2" t="s">
        <v>27</v>
      </c>
      <c r="E9" s="2">
        <v>100000000</v>
      </c>
      <c r="F9" s="3">
        <f>F8</f>
        <v>0</v>
      </c>
      <c r="G9" s="2" t="s">
        <v>5</v>
      </c>
      <c r="I9" s="2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F35D-160D-4511-BC95-810F8E17F2C1}">
  <dimension ref="A1:I9"/>
  <sheetViews>
    <sheetView workbookViewId="0">
      <selection activeCell="B10" sqref="B10"/>
    </sheetView>
  </sheetViews>
  <sheetFormatPr defaultRowHeight="15" x14ac:dyDescent="0.25"/>
  <cols>
    <col min="1" max="1" width="24.28515625" style="2" bestFit="1" customWidth="1"/>
    <col min="2" max="2" width="13.140625" style="2" bestFit="1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6" width="10.5703125" style="2" bestFit="1" customWidth="1"/>
    <col min="7" max="7" width="20.140625" style="2" bestFit="1" customWidth="1"/>
    <col min="8" max="9" width="9.140625" style="2" customWidth="1"/>
  </cols>
  <sheetData>
    <row r="1" spans="1:9" x14ac:dyDescent="0.25">
      <c r="A1" s="2" t="s">
        <v>11</v>
      </c>
      <c r="B1" s="2" t="s">
        <v>12</v>
      </c>
    </row>
    <row r="2" spans="1:9" x14ac:dyDescent="0.25">
      <c r="A2" s="2" t="s">
        <v>13</v>
      </c>
      <c r="B2" s="2" t="s">
        <v>14</v>
      </c>
    </row>
    <row r="3" spans="1:9" x14ac:dyDescent="0.25">
      <c r="A3" s="2" t="s">
        <v>15</v>
      </c>
      <c r="B3" s="2" t="s">
        <v>25</v>
      </c>
    </row>
    <row r="4" spans="1:9" x14ac:dyDescent="0.25">
      <c r="A4" s="2" t="s">
        <v>16</v>
      </c>
      <c r="B4" s="2" t="s">
        <v>17</v>
      </c>
    </row>
    <row r="5" spans="1:9" x14ac:dyDescent="0.25">
      <c r="A5" s="2" t="s">
        <v>18</v>
      </c>
      <c r="B5" s="2" t="s">
        <v>47</v>
      </c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>
        <v>510010</v>
      </c>
      <c r="B8" s="2" t="s">
        <v>129</v>
      </c>
      <c r="C8" s="2" t="s">
        <v>45</v>
      </c>
      <c r="D8" s="2" t="s">
        <v>5</v>
      </c>
      <c r="E8" s="2">
        <v>100000000</v>
      </c>
      <c r="F8" s="3"/>
      <c r="G8" s="2" t="s">
        <v>5</v>
      </c>
      <c r="I8" s="2" t="s">
        <v>112</v>
      </c>
    </row>
    <row r="9" spans="1:9" s="2" customFormat="1" x14ac:dyDescent="0.25">
      <c r="A9" s="2">
        <v>520001</v>
      </c>
      <c r="B9" s="2" t="s">
        <v>129</v>
      </c>
      <c r="C9" s="2">
        <v>211110101</v>
      </c>
      <c r="D9" s="2" t="s">
        <v>27</v>
      </c>
      <c r="E9" s="2">
        <v>100000000</v>
      </c>
      <c r="F9" s="3">
        <f>F8</f>
        <v>0</v>
      </c>
      <c r="G9" s="2" t="s">
        <v>5</v>
      </c>
      <c r="I9" s="2" t="s">
        <v>112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6C07-791B-4BEB-ADA5-2E1C237E044E}">
  <dimension ref="A1:I15"/>
  <sheetViews>
    <sheetView workbookViewId="0">
      <selection activeCell="S32" sqref="S32"/>
    </sheetView>
  </sheetViews>
  <sheetFormatPr defaultRowHeight="15" x14ac:dyDescent="0.25"/>
  <cols>
    <col min="1" max="1" width="24.28515625" style="2" bestFit="1" customWidth="1"/>
    <col min="2" max="2" width="26.5703125" style="2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6" width="10.5703125" style="2" bestFit="1" customWidth="1"/>
    <col min="7" max="9" width="9.140625" style="2" customWidth="1"/>
  </cols>
  <sheetData>
    <row r="1" spans="1:9" x14ac:dyDescent="0.25">
      <c r="A1" s="2" t="s">
        <v>11</v>
      </c>
      <c r="B1" s="2" t="s">
        <v>12</v>
      </c>
    </row>
    <row r="2" spans="1:9" x14ac:dyDescent="0.25">
      <c r="A2" s="2" t="s">
        <v>13</v>
      </c>
      <c r="B2" s="2" t="s">
        <v>14</v>
      </c>
    </row>
    <row r="3" spans="1:9" x14ac:dyDescent="0.25">
      <c r="A3" s="2" t="s">
        <v>15</v>
      </c>
      <c r="B3" s="2" t="s">
        <v>25</v>
      </c>
    </row>
    <row r="4" spans="1:9" x14ac:dyDescent="0.25">
      <c r="A4" s="2" t="s">
        <v>16</v>
      </c>
      <c r="B4" s="2" t="s">
        <v>17</v>
      </c>
    </row>
    <row r="5" spans="1:9" x14ac:dyDescent="0.25">
      <c r="A5" s="2" t="s">
        <v>18</v>
      </c>
      <c r="B5" s="2" t="s">
        <v>57</v>
      </c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 t="s">
        <v>50</v>
      </c>
      <c r="B8" s="2" t="s">
        <v>52</v>
      </c>
      <c r="D8" s="2" t="s">
        <v>55</v>
      </c>
      <c r="E8" s="2">
        <v>100000000</v>
      </c>
      <c r="F8" s="3"/>
      <c r="G8" s="2" t="s">
        <v>55</v>
      </c>
    </row>
    <row r="9" spans="1:9" x14ac:dyDescent="0.25">
      <c r="A9" s="2" t="s">
        <v>51</v>
      </c>
      <c r="B9" s="2" t="s">
        <v>53</v>
      </c>
      <c r="C9" s="2" t="s">
        <v>54</v>
      </c>
      <c r="D9" s="2" t="s">
        <v>56</v>
      </c>
      <c r="E9" s="2">
        <v>100000000</v>
      </c>
      <c r="F9" s="3">
        <f>F8</f>
        <v>0</v>
      </c>
      <c r="G9" s="2" t="s">
        <v>55</v>
      </c>
    </row>
    <row r="10" spans="1:9" x14ac:dyDescent="0.25">
      <c r="F10" s="3"/>
    </row>
    <row r="11" spans="1:9" x14ac:dyDescent="0.25">
      <c r="F11" s="3"/>
    </row>
    <row r="12" spans="1:9" x14ac:dyDescent="0.25">
      <c r="F12" s="3"/>
    </row>
    <row r="13" spans="1:9" x14ac:dyDescent="0.25">
      <c r="F13" s="3"/>
    </row>
    <row r="15" spans="1:9" x14ac:dyDescent="0.25">
      <c r="F15" s="3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5CC3-E141-4D8A-A5C7-E8967563A04D}">
  <dimension ref="A1:I15"/>
  <sheetViews>
    <sheetView topLeftCell="A4" workbookViewId="0">
      <selection activeCell="A10" sqref="A10:I11"/>
    </sheetView>
  </sheetViews>
  <sheetFormatPr defaultRowHeight="15" x14ac:dyDescent="0.25"/>
  <cols>
    <col min="1" max="1" width="24.28515625" style="2" bestFit="1" customWidth="1"/>
    <col min="2" max="2" width="13.140625" style="2" bestFit="1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6" width="10.5703125" style="2" bestFit="1" customWidth="1"/>
    <col min="7" max="7" width="10.7109375" style="2" customWidth="1"/>
    <col min="8" max="8" width="9.140625" style="2" customWidth="1"/>
    <col min="9" max="9" width="16.28515625" style="2" bestFit="1" customWidth="1"/>
  </cols>
  <sheetData>
    <row r="1" spans="1:9" x14ac:dyDescent="0.25">
      <c r="A1" s="2" t="s">
        <v>11</v>
      </c>
      <c r="B1" s="2" t="s">
        <v>12</v>
      </c>
    </row>
    <row r="2" spans="1:9" x14ac:dyDescent="0.25">
      <c r="A2" s="2" t="s">
        <v>13</v>
      </c>
      <c r="B2" s="2" t="s">
        <v>14</v>
      </c>
    </row>
    <row r="3" spans="1:9" x14ac:dyDescent="0.25">
      <c r="A3" s="2" t="s">
        <v>15</v>
      </c>
      <c r="B3" s="2" t="s">
        <v>25</v>
      </c>
    </row>
    <row r="4" spans="1:9" x14ac:dyDescent="0.25">
      <c r="A4" s="2" t="s">
        <v>16</v>
      </c>
      <c r="B4" s="2" t="s">
        <v>17</v>
      </c>
    </row>
    <row r="5" spans="1:9" x14ac:dyDescent="0.25">
      <c r="A5" s="2" t="s">
        <v>18</v>
      </c>
      <c r="B5" s="2" t="s">
        <v>62</v>
      </c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 t="s">
        <v>58</v>
      </c>
      <c r="B8" s="2" t="s">
        <v>60</v>
      </c>
      <c r="C8" s="2">
        <v>319110100</v>
      </c>
      <c r="D8" s="2" t="s">
        <v>4</v>
      </c>
      <c r="E8" s="2">
        <v>100000000</v>
      </c>
      <c r="F8" s="3"/>
      <c r="G8" s="2" t="s">
        <v>4</v>
      </c>
    </row>
    <row r="9" spans="1:9" x14ac:dyDescent="0.25">
      <c r="A9" s="2" t="s">
        <v>59</v>
      </c>
      <c r="B9" s="2" t="s">
        <v>60</v>
      </c>
      <c r="C9" s="2" t="s">
        <v>33</v>
      </c>
      <c r="D9" s="2" t="s">
        <v>56</v>
      </c>
      <c r="E9" s="2">
        <v>100000000</v>
      </c>
      <c r="F9" s="3">
        <f>F8</f>
        <v>0</v>
      </c>
      <c r="G9" s="2" t="s">
        <v>4</v>
      </c>
    </row>
    <row r="10" spans="1:9" x14ac:dyDescent="0.25">
      <c r="A10" s="2" t="s">
        <v>58</v>
      </c>
      <c r="B10" s="2" t="s">
        <v>61</v>
      </c>
      <c r="C10" s="2">
        <v>319110100</v>
      </c>
      <c r="D10" s="2" t="s">
        <v>4</v>
      </c>
      <c r="E10" s="2">
        <v>100000000</v>
      </c>
      <c r="F10" s="3"/>
      <c r="G10" s="2" t="s">
        <v>4</v>
      </c>
      <c r="I10" s="2" t="s">
        <v>113</v>
      </c>
    </row>
    <row r="11" spans="1:9" x14ac:dyDescent="0.25">
      <c r="A11" s="2" t="s">
        <v>59</v>
      </c>
      <c r="B11" s="2" t="s">
        <v>61</v>
      </c>
      <c r="C11" s="2" t="s">
        <v>33</v>
      </c>
      <c r="D11" s="2" t="s">
        <v>56</v>
      </c>
      <c r="E11" s="2">
        <v>100000000</v>
      </c>
      <c r="F11" s="3">
        <f>F10</f>
        <v>0</v>
      </c>
      <c r="G11" s="2" t="s">
        <v>4</v>
      </c>
      <c r="I11" s="2" t="s">
        <v>113</v>
      </c>
    </row>
    <row r="12" spans="1:9" x14ac:dyDescent="0.25">
      <c r="F12" s="3"/>
    </row>
    <row r="13" spans="1:9" x14ac:dyDescent="0.25">
      <c r="F13" s="3"/>
    </row>
    <row r="15" spans="1:9" x14ac:dyDescent="0.25">
      <c r="F1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AD1A-D88B-4100-8FDE-E6ACE989C91F}">
  <dimension ref="A1:I15"/>
  <sheetViews>
    <sheetView tabSelected="1" workbookViewId="0">
      <selection activeCell="D19" sqref="D19"/>
    </sheetView>
  </sheetViews>
  <sheetFormatPr defaultRowHeight="15" x14ac:dyDescent="0.25"/>
  <cols>
    <col min="1" max="1" width="24.28515625" style="2" bestFit="1" customWidth="1"/>
    <col min="2" max="2" width="13.140625" style="2" bestFit="1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6" width="10.5703125" style="2" bestFit="1" customWidth="1"/>
    <col min="7" max="9" width="9.140625" style="2" customWidth="1"/>
  </cols>
  <sheetData>
    <row r="1" spans="1:9" x14ac:dyDescent="0.25">
      <c r="A1" s="2" t="s">
        <v>11</v>
      </c>
      <c r="B1" s="2" t="s">
        <v>12</v>
      </c>
    </row>
    <row r="2" spans="1:9" x14ac:dyDescent="0.25">
      <c r="A2" s="2" t="s">
        <v>13</v>
      </c>
      <c r="B2" s="2" t="s">
        <v>14</v>
      </c>
    </row>
    <row r="3" spans="1:9" x14ac:dyDescent="0.25">
      <c r="A3" s="2" t="s">
        <v>15</v>
      </c>
      <c r="B3" s="2" t="s">
        <v>25</v>
      </c>
    </row>
    <row r="4" spans="1:9" x14ac:dyDescent="0.25">
      <c r="A4" s="2" t="s">
        <v>16</v>
      </c>
      <c r="B4" s="2" t="s">
        <v>17</v>
      </c>
    </row>
    <row r="5" spans="1:9" x14ac:dyDescent="0.25">
      <c r="A5" s="2" t="s">
        <v>18</v>
      </c>
      <c r="B5" s="2" t="s">
        <v>63</v>
      </c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>
        <v>510066</v>
      </c>
      <c r="B8" s="2" t="s">
        <v>65</v>
      </c>
      <c r="C8" s="2">
        <v>399612200</v>
      </c>
      <c r="D8" s="2" t="s">
        <v>10</v>
      </c>
      <c r="E8" s="2">
        <v>100000000</v>
      </c>
      <c r="F8" s="3"/>
      <c r="G8" s="2" t="s">
        <v>10</v>
      </c>
    </row>
    <row r="9" spans="1:9" x14ac:dyDescent="0.25">
      <c r="A9" s="2">
        <v>510066</v>
      </c>
      <c r="B9" s="2" t="s">
        <v>66</v>
      </c>
      <c r="C9" s="2">
        <v>399612000</v>
      </c>
      <c r="D9" s="2" t="s">
        <v>9</v>
      </c>
      <c r="E9" s="2">
        <v>100000000</v>
      </c>
      <c r="F9" s="3"/>
      <c r="G9" s="2" t="s">
        <v>9</v>
      </c>
    </row>
    <row r="10" spans="1:9" x14ac:dyDescent="0.25">
      <c r="A10" s="2">
        <v>510066</v>
      </c>
      <c r="B10" s="2" t="s">
        <v>64</v>
      </c>
      <c r="C10" s="2" t="s">
        <v>124</v>
      </c>
      <c r="D10" s="2" t="s">
        <v>8</v>
      </c>
      <c r="E10" s="2">
        <v>100000000</v>
      </c>
      <c r="F10" s="3"/>
      <c r="G10" s="2" t="s">
        <v>8</v>
      </c>
    </row>
    <row r="11" spans="1:9" x14ac:dyDescent="0.25">
      <c r="A11" s="2">
        <v>520001</v>
      </c>
      <c r="B11" s="2" t="s">
        <v>65</v>
      </c>
      <c r="C11" s="2" t="s">
        <v>33</v>
      </c>
      <c r="D11" s="2" t="s">
        <v>139</v>
      </c>
      <c r="E11" s="2">
        <v>100000000</v>
      </c>
      <c r="F11" s="3">
        <f>F8</f>
        <v>0</v>
      </c>
      <c r="G11" s="2" t="s">
        <v>10</v>
      </c>
    </row>
    <row r="12" spans="1:9" x14ac:dyDescent="0.25">
      <c r="A12" s="2">
        <v>520001</v>
      </c>
      <c r="B12" s="2" t="s">
        <v>66</v>
      </c>
      <c r="C12" s="2">
        <v>211110101</v>
      </c>
      <c r="D12" s="2" t="s">
        <v>139</v>
      </c>
      <c r="E12" s="2">
        <v>100000000</v>
      </c>
      <c r="F12" s="3">
        <f>F9</f>
        <v>0</v>
      </c>
      <c r="G12" s="2" t="s">
        <v>9</v>
      </c>
    </row>
    <row r="13" spans="1:9" x14ac:dyDescent="0.25">
      <c r="A13" s="2">
        <v>520001</v>
      </c>
      <c r="B13" s="2" t="s">
        <v>64</v>
      </c>
      <c r="C13" s="2" t="s">
        <v>33</v>
      </c>
      <c r="D13" s="2" t="s">
        <v>139</v>
      </c>
      <c r="E13" s="2">
        <v>100000000</v>
      </c>
      <c r="F13" s="3">
        <f>F10</f>
        <v>0</v>
      </c>
      <c r="G13" s="2" t="s">
        <v>8</v>
      </c>
    </row>
    <row r="15" spans="1:9" x14ac:dyDescent="0.25">
      <c r="F1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0BA3-9473-4E8B-B8C8-BAA390E2ECBE}">
  <dimension ref="A1:I13"/>
  <sheetViews>
    <sheetView workbookViewId="0">
      <selection activeCell="I7" sqref="I7"/>
    </sheetView>
  </sheetViews>
  <sheetFormatPr defaultRowHeight="15" x14ac:dyDescent="0.25"/>
  <cols>
    <col min="2" max="2" width="21.140625" customWidth="1"/>
    <col min="3" max="3" width="14.5703125" customWidth="1"/>
    <col min="5" max="5" width="10" bestFit="1" customWidth="1"/>
  </cols>
  <sheetData>
    <row r="1" spans="1:9" x14ac:dyDescent="0.25">
      <c r="A1" s="2" t="s">
        <v>11</v>
      </c>
      <c r="B1" s="2" t="s">
        <v>12</v>
      </c>
      <c r="C1" s="2"/>
      <c r="D1" s="2"/>
      <c r="E1" s="2"/>
      <c r="F1" s="2"/>
      <c r="G1" s="2"/>
      <c r="H1" s="2"/>
    </row>
    <row r="2" spans="1:9" x14ac:dyDescent="0.25">
      <c r="A2" s="2" t="s">
        <v>13</v>
      </c>
      <c r="B2" s="2" t="s">
        <v>14</v>
      </c>
      <c r="C2" s="2"/>
      <c r="D2" s="2"/>
      <c r="E2" s="2"/>
      <c r="F2" s="2"/>
      <c r="G2" s="2"/>
      <c r="H2" s="2"/>
    </row>
    <row r="3" spans="1:9" x14ac:dyDescent="0.25">
      <c r="A3" s="2" t="s">
        <v>15</v>
      </c>
      <c r="B3" s="2" t="s">
        <v>25</v>
      </c>
      <c r="C3" s="2"/>
      <c r="D3" s="2"/>
      <c r="E3" s="2"/>
      <c r="F3" s="2"/>
      <c r="G3" s="2"/>
      <c r="H3" s="2"/>
    </row>
    <row r="4" spans="1:9" x14ac:dyDescent="0.25">
      <c r="A4" s="2" t="s">
        <v>16</v>
      </c>
      <c r="B4" s="2" t="s">
        <v>17</v>
      </c>
      <c r="C4" s="2"/>
      <c r="D4" s="2"/>
      <c r="E4" s="2"/>
      <c r="F4" s="2"/>
      <c r="G4" s="2"/>
      <c r="H4" s="2"/>
    </row>
    <row r="5" spans="1:9" x14ac:dyDescent="0.25">
      <c r="A5" s="2" t="s">
        <v>18</v>
      </c>
      <c r="B5" s="2" t="s">
        <v>82</v>
      </c>
      <c r="C5" s="2"/>
      <c r="D5" s="2"/>
      <c r="E5" s="2"/>
      <c r="F5" s="2"/>
      <c r="G5" s="2"/>
      <c r="H5" s="2"/>
    </row>
    <row r="6" spans="1:9" x14ac:dyDescent="0.25">
      <c r="A6" s="2"/>
      <c r="B6" s="2"/>
      <c r="C6" s="2"/>
      <c r="D6" s="2"/>
      <c r="E6" s="2"/>
      <c r="F6" s="2"/>
      <c r="G6" s="2"/>
      <c r="H6" s="2"/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 t="s">
        <v>83</v>
      </c>
      <c r="B8" s="2" t="s">
        <v>85</v>
      </c>
      <c r="C8" s="2" t="s">
        <v>24</v>
      </c>
      <c r="D8" s="2" t="s">
        <v>86</v>
      </c>
      <c r="E8" s="2">
        <v>100000000</v>
      </c>
      <c r="F8" s="3"/>
      <c r="G8" s="2" t="s">
        <v>86</v>
      </c>
    </row>
    <row r="9" spans="1:9" x14ac:dyDescent="0.25">
      <c r="A9" s="2" t="s">
        <v>51</v>
      </c>
      <c r="B9" s="2" t="s">
        <v>30</v>
      </c>
      <c r="C9" s="2" t="s">
        <v>31</v>
      </c>
      <c r="D9" s="2" t="s">
        <v>87</v>
      </c>
      <c r="E9" s="2">
        <v>100000000</v>
      </c>
      <c r="F9" s="3"/>
      <c r="G9" s="2" t="s">
        <v>86</v>
      </c>
    </row>
    <row r="10" spans="1:9" x14ac:dyDescent="0.25">
      <c r="A10" s="2" t="s">
        <v>84</v>
      </c>
      <c r="B10" s="2" t="s">
        <v>32</v>
      </c>
      <c r="C10" s="2" t="s">
        <v>31</v>
      </c>
      <c r="D10" s="2" t="s">
        <v>24</v>
      </c>
      <c r="E10" s="2">
        <v>100000000</v>
      </c>
      <c r="F10" s="3"/>
      <c r="G10" s="2" t="s">
        <v>86</v>
      </c>
    </row>
    <row r="11" spans="1:9" x14ac:dyDescent="0.25">
      <c r="A11" s="2"/>
      <c r="B11" s="2"/>
      <c r="C11" s="2"/>
      <c r="D11" s="2"/>
      <c r="E11" s="2"/>
      <c r="F11" s="3"/>
      <c r="G11" s="2"/>
      <c r="H11" s="2"/>
    </row>
    <row r="12" spans="1:9" x14ac:dyDescent="0.25">
      <c r="A12" s="2"/>
      <c r="B12" s="2"/>
      <c r="C12" s="2"/>
      <c r="D12" s="2"/>
      <c r="E12" s="2"/>
      <c r="F12" s="3"/>
      <c r="G12" s="2"/>
      <c r="H12" s="2"/>
    </row>
    <row r="13" spans="1:9" x14ac:dyDescent="0.25">
      <c r="A13" s="2"/>
      <c r="B13" s="2"/>
      <c r="C13" s="2"/>
      <c r="D13" s="2"/>
      <c r="E13" s="2"/>
      <c r="F13" s="3"/>
      <c r="G13" s="2"/>
      <c r="H13" s="2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2363-CB99-42DA-A45C-7AECC9FE6894}">
  <dimension ref="A1:I13"/>
  <sheetViews>
    <sheetView workbookViewId="0">
      <selection activeCell="I7" sqref="I7"/>
    </sheetView>
  </sheetViews>
  <sheetFormatPr defaultRowHeight="15" x14ac:dyDescent="0.25"/>
  <cols>
    <col min="2" max="2" width="21.140625" customWidth="1"/>
    <col min="3" max="3" width="12.140625" bestFit="1" customWidth="1"/>
    <col min="4" max="4" width="10.85546875" bestFit="1" customWidth="1"/>
    <col min="5" max="5" width="10" bestFit="1" customWidth="1"/>
  </cols>
  <sheetData>
    <row r="1" spans="1:9" x14ac:dyDescent="0.25">
      <c r="A1" s="2" t="s">
        <v>11</v>
      </c>
      <c r="B1" s="2" t="s">
        <v>12</v>
      </c>
      <c r="C1" s="2"/>
      <c r="D1" s="2"/>
      <c r="E1" s="2"/>
      <c r="F1" s="2"/>
      <c r="G1" s="2"/>
      <c r="H1" s="2"/>
    </row>
    <row r="2" spans="1:9" x14ac:dyDescent="0.25">
      <c r="A2" s="2" t="s">
        <v>13</v>
      </c>
      <c r="B2" s="2" t="s">
        <v>14</v>
      </c>
      <c r="C2" s="2"/>
      <c r="D2" s="2"/>
      <c r="E2" s="2"/>
      <c r="F2" s="2"/>
      <c r="G2" s="2"/>
      <c r="H2" s="2"/>
    </row>
    <row r="3" spans="1:9" x14ac:dyDescent="0.25">
      <c r="A3" s="2" t="s">
        <v>15</v>
      </c>
      <c r="B3" s="2" t="s">
        <v>25</v>
      </c>
      <c r="C3" s="2"/>
      <c r="D3" s="2"/>
      <c r="E3" s="2"/>
      <c r="F3" s="2"/>
      <c r="G3" s="2"/>
      <c r="H3" s="2"/>
    </row>
    <row r="4" spans="1:9" x14ac:dyDescent="0.25">
      <c r="A4" s="2" t="s">
        <v>16</v>
      </c>
      <c r="B4" s="2" t="s">
        <v>17</v>
      </c>
      <c r="C4" s="2"/>
      <c r="D4" s="2"/>
      <c r="E4" s="2"/>
      <c r="F4" s="2"/>
      <c r="G4" s="2"/>
      <c r="H4" s="2"/>
    </row>
    <row r="5" spans="1:9" x14ac:dyDescent="0.25">
      <c r="A5" s="2" t="s">
        <v>18</v>
      </c>
      <c r="B5" s="2" t="s">
        <v>90</v>
      </c>
      <c r="C5" s="2"/>
      <c r="D5" s="2"/>
      <c r="E5" s="2"/>
      <c r="F5" s="2"/>
      <c r="G5" s="2"/>
      <c r="H5" s="2"/>
    </row>
    <row r="6" spans="1:9" x14ac:dyDescent="0.25">
      <c r="A6" s="2"/>
      <c r="B6" s="2"/>
      <c r="C6" s="2"/>
      <c r="D6" s="2"/>
      <c r="E6" s="2"/>
      <c r="F6" s="2"/>
      <c r="G6" s="2"/>
      <c r="H6" s="2"/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 t="s">
        <v>83</v>
      </c>
      <c r="B8" s="2" t="s">
        <v>89</v>
      </c>
      <c r="C8" s="2" t="s">
        <v>24</v>
      </c>
      <c r="D8" s="2" t="s">
        <v>88</v>
      </c>
      <c r="E8" s="2">
        <v>100000000</v>
      </c>
      <c r="F8" s="3"/>
      <c r="G8" s="2" t="s">
        <v>88</v>
      </c>
    </row>
    <row r="9" spans="1:9" x14ac:dyDescent="0.25">
      <c r="A9" s="2" t="s">
        <v>51</v>
      </c>
      <c r="B9" s="2" t="s">
        <v>30</v>
      </c>
      <c r="C9" s="2" t="s">
        <v>31</v>
      </c>
      <c r="D9" s="2" t="s">
        <v>87</v>
      </c>
      <c r="E9" s="2">
        <v>100000000</v>
      </c>
      <c r="F9" s="3"/>
      <c r="G9" s="2" t="s">
        <v>88</v>
      </c>
    </row>
    <row r="10" spans="1:9" x14ac:dyDescent="0.25">
      <c r="A10" s="2" t="s">
        <v>84</v>
      </c>
      <c r="B10" s="2" t="s">
        <v>32</v>
      </c>
      <c r="C10" s="2" t="s">
        <v>31</v>
      </c>
      <c r="D10" s="2" t="s">
        <v>24</v>
      </c>
      <c r="E10" s="2">
        <v>100000000</v>
      </c>
      <c r="F10" s="3"/>
      <c r="G10" s="2" t="s">
        <v>88</v>
      </c>
    </row>
    <row r="11" spans="1:9" x14ac:dyDescent="0.25">
      <c r="A11" s="2"/>
      <c r="B11" s="2"/>
      <c r="C11" s="2"/>
      <c r="D11" s="2"/>
      <c r="E11" s="2"/>
      <c r="F11" s="3"/>
      <c r="G11" s="2"/>
      <c r="H11" s="2"/>
    </row>
    <row r="12" spans="1:9" x14ac:dyDescent="0.25">
      <c r="A12" s="2"/>
      <c r="B12" s="2"/>
      <c r="C12" s="2"/>
      <c r="D12" s="2"/>
      <c r="E12" s="2"/>
      <c r="F12" s="3"/>
      <c r="G12" s="2"/>
      <c r="H12" s="2"/>
    </row>
    <row r="13" spans="1:9" x14ac:dyDescent="0.25">
      <c r="A13" s="2"/>
      <c r="B13" s="2"/>
      <c r="C13" s="2"/>
      <c r="D13" s="2"/>
      <c r="E13" s="2"/>
      <c r="F13" s="3"/>
      <c r="G13" s="2"/>
      <c r="H13" s="2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5C73-0E3E-4548-B5E6-8CB253237F32}">
  <dimension ref="A1:I13"/>
  <sheetViews>
    <sheetView workbookViewId="0">
      <selection activeCell="I7" sqref="I7"/>
    </sheetView>
  </sheetViews>
  <sheetFormatPr defaultRowHeight="15" x14ac:dyDescent="0.25"/>
  <cols>
    <col min="2" max="2" width="21.140625" customWidth="1"/>
    <col min="3" max="3" width="14.5703125" customWidth="1"/>
    <col min="5" max="5" width="10" bestFit="1" customWidth="1"/>
  </cols>
  <sheetData>
    <row r="1" spans="1:9" x14ac:dyDescent="0.25">
      <c r="A1" s="2" t="s">
        <v>11</v>
      </c>
      <c r="B1" s="2" t="s">
        <v>12</v>
      </c>
      <c r="C1" s="2"/>
      <c r="D1" s="2"/>
      <c r="E1" s="2"/>
      <c r="F1" s="2"/>
      <c r="G1" s="2"/>
      <c r="H1" s="2"/>
    </row>
    <row r="2" spans="1:9" x14ac:dyDescent="0.25">
      <c r="A2" s="2" t="s">
        <v>13</v>
      </c>
      <c r="B2" s="2" t="s">
        <v>14</v>
      </c>
      <c r="C2" s="2"/>
      <c r="D2" s="2"/>
      <c r="E2" s="2"/>
      <c r="F2" s="2"/>
      <c r="G2" s="2"/>
      <c r="H2" s="2"/>
    </row>
    <row r="3" spans="1:9" x14ac:dyDescent="0.25">
      <c r="A3" s="2" t="s">
        <v>15</v>
      </c>
      <c r="B3" s="2" t="s">
        <v>25</v>
      </c>
      <c r="C3" s="2"/>
      <c r="D3" s="2"/>
      <c r="E3" s="2"/>
      <c r="F3" s="2"/>
      <c r="G3" s="2"/>
      <c r="H3" s="2"/>
    </row>
    <row r="4" spans="1:9" x14ac:dyDescent="0.25">
      <c r="A4" s="2" t="s">
        <v>16</v>
      </c>
      <c r="B4" s="2" t="s">
        <v>17</v>
      </c>
      <c r="C4" s="2"/>
      <c r="D4" s="2"/>
      <c r="E4" s="2"/>
      <c r="F4" s="2"/>
      <c r="G4" s="2"/>
      <c r="H4" s="2"/>
    </row>
    <row r="5" spans="1:9" x14ac:dyDescent="0.25">
      <c r="A5" s="2" t="s">
        <v>18</v>
      </c>
      <c r="B5" s="2" t="s">
        <v>93</v>
      </c>
      <c r="C5" s="2"/>
      <c r="D5" s="2"/>
      <c r="E5" s="2"/>
      <c r="F5" s="2"/>
      <c r="G5" s="2"/>
      <c r="H5" s="2"/>
    </row>
    <row r="6" spans="1:9" x14ac:dyDescent="0.25">
      <c r="A6" s="2"/>
      <c r="B6" s="2"/>
      <c r="C6" s="2"/>
      <c r="D6" s="2"/>
      <c r="E6" s="2"/>
      <c r="F6" s="2"/>
      <c r="G6" s="2"/>
      <c r="H6" s="2"/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 t="s">
        <v>83</v>
      </c>
      <c r="B8" s="2" t="s">
        <v>92</v>
      </c>
      <c r="C8" s="2" t="s">
        <v>24</v>
      </c>
      <c r="D8" s="2" t="s">
        <v>91</v>
      </c>
      <c r="E8" s="2">
        <v>100000000</v>
      </c>
      <c r="F8" s="3"/>
      <c r="G8" s="2" t="s">
        <v>91</v>
      </c>
    </row>
    <row r="9" spans="1:9" x14ac:dyDescent="0.25">
      <c r="A9" s="2" t="s">
        <v>51</v>
      </c>
      <c r="B9" s="2" t="s">
        <v>30</v>
      </c>
      <c r="C9" s="2" t="s">
        <v>31</v>
      </c>
      <c r="D9" s="2" t="s">
        <v>87</v>
      </c>
      <c r="E9" s="2">
        <v>100000000</v>
      </c>
      <c r="F9" s="3"/>
      <c r="G9" s="2" t="s">
        <v>91</v>
      </c>
    </row>
    <row r="10" spans="1:9" x14ac:dyDescent="0.25">
      <c r="A10" s="2" t="s">
        <v>84</v>
      </c>
      <c r="B10" s="2" t="s">
        <v>32</v>
      </c>
      <c r="C10" s="2" t="s">
        <v>31</v>
      </c>
      <c r="D10" s="2" t="s">
        <v>24</v>
      </c>
      <c r="E10" s="2">
        <v>100000000</v>
      </c>
      <c r="F10" s="3"/>
      <c r="G10" s="2" t="s">
        <v>91</v>
      </c>
    </row>
    <row r="11" spans="1:9" x14ac:dyDescent="0.25">
      <c r="A11" s="2"/>
      <c r="B11" s="2"/>
      <c r="C11" s="2"/>
      <c r="D11" s="2"/>
      <c r="E11" s="2"/>
      <c r="F11" s="3"/>
      <c r="G11" s="2"/>
      <c r="H11" s="2"/>
    </row>
    <row r="12" spans="1:9" x14ac:dyDescent="0.25">
      <c r="A12" s="2"/>
      <c r="B12" s="2"/>
      <c r="C12" s="2"/>
      <c r="D12" s="2"/>
      <c r="E12" s="2"/>
      <c r="F12" s="3"/>
      <c r="G12" s="2"/>
      <c r="H12" s="2"/>
    </row>
    <row r="13" spans="1:9" x14ac:dyDescent="0.25">
      <c r="A13" s="2"/>
      <c r="B13" s="2"/>
      <c r="C13" s="2"/>
      <c r="D13" s="2"/>
      <c r="E13" s="2"/>
      <c r="F13" s="3"/>
      <c r="G13" s="2"/>
      <c r="H13" s="2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BAFE-876A-47AD-9FC6-E96D30AC14F8}">
  <dimension ref="A1:I17"/>
  <sheetViews>
    <sheetView workbookViewId="0">
      <selection activeCell="H23" sqref="H23"/>
    </sheetView>
  </sheetViews>
  <sheetFormatPr defaultRowHeight="15" x14ac:dyDescent="0.25"/>
  <cols>
    <col min="2" max="2" width="21.140625" customWidth="1"/>
    <col min="3" max="3" width="14.5703125" customWidth="1"/>
    <col min="5" max="5" width="10" bestFit="1" customWidth="1"/>
    <col min="7" max="7" width="14.5703125" customWidth="1"/>
    <col min="8" max="8" width="20.85546875" customWidth="1"/>
    <col min="9" max="9" width="12.7109375" bestFit="1" customWidth="1"/>
  </cols>
  <sheetData>
    <row r="1" spans="1:9" x14ac:dyDescent="0.25">
      <c r="A1" s="2" t="s">
        <v>11</v>
      </c>
      <c r="B1" s="2" t="s">
        <v>12</v>
      </c>
      <c r="C1" s="2"/>
      <c r="D1" s="2"/>
      <c r="E1" s="2"/>
      <c r="F1" s="2"/>
      <c r="G1" s="2"/>
      <c r="H1" s="2"/>
    </row>
    <row r="2" spans="1:9" x14ac:dyDescent="0.25">
      <c r="A2" s="2" t="s">
        <v>13</v>
      </c>
      <c r="B2" s="2" t="s">
        <v>14</v>
      </c>
      <c r="C2" s="2"/>
      <c r="D2" s="2"/>
      <c r="E2" s="2"/>
      <c r="F2" s="2"/>
      <c r="G2" s="2"/>
      <c r="H2" s="2"/>
    </row>
    <row r="3" spans="1:9" x14ac:dyDescent="0.25">
      <c r="A3" s="2" t="s">
        <v>15</v>
      </c>
      <c r="B3" s="2" t="s">
        <v>25</v>
      </c>
      <c r="C3" s="2"/>
      <c r="D3" s="2"/>
      <c r="E3" s="2"/>
      <c r="F3" s="2"/>
      <c r="G3" s="2"/>
      <c r="H3" s="2"/>
    </row>
    <row r="4" spans="1:9" x14ac:dyDescent="0.25">
      <c r="A4" s="2" t="s">
        <v>16</v>
      </c>
      <c r="B4" s="2" t="s">
        <v>17</v>
      </c>
      <c r="C4" s="2"/>
      <c r="D4" s="2"/>
      <c r="E4" s="2"/>
      <c r="F4" s="2"/>
      <c r="G4" s="2"/>
      <c r="H4" s="2"/>
    </row>
    <row r="5" spans="1:9" x14ac:dyDescent="0.25">
      <c r="A5" s="2" t="s">
        <v>18</v>
      </c>
      <c r="B5" s="2" t="s">
        <v>94</v>
      </c>
      <c r="C5" s="2"/>
      <c r="D5" s="2"/>
      <c r="E5" s="2"/>
      <c r="F5" s="2"/>
      <c r="G5" s="2"/>
      <c r="H5" s="2"/>
    </row>
    <row r="6" spans="1:9" x14ac:dyDescent="0.25">
      <c r="A6" s="2"/>
      <c r="B6" s="2"/>
      <c r="C6" s="2"/>
      <c r="D6" s="2"/>
      <c r="E6" s="2"/>
      <c r="F6" s="2"/>
      <c r="G6" s="2"/>
      <c r="H6" s="2"/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>
        <v>510743</v>
      </c>
      <c r="B8" s="2" t="s">
        <v>29</v>
      </c>
      <c r="C8" s="2" t="s">
        <v>24</v>
      </c>
      <c r="D8" s="2" t="s">
        <v>7</v>
      </c>
      <c r="E8" s="2">
        <v>100000000</v>
      </c>
      <c r="F8" s="3"/>
      <c r="G8" s="2" t="s">
        <v>7</v>
      </c>
      <c r="I8" t="s">
        <v>114</v>
      </c>
    </row>
    <row r="9" spans="1:9" x14ac:dyDescent="0.25">
      <c r="A9" s="2">
        <v>510743</v>
      </c>
      <c r="B9" s="2" t="s">
        <v>29</v>
      </c>
      <c r="C9" s="2"/>
      <c r="D9" s="2" t="s">
        <v>7</v>
      </c>
      <c r="E9" s="2">
        <v>100000000</v>
      </c>
      <c r="F9" s="3"/>
      <c r="G9" s="2" t="s">
        <v>7</v>
      </c>
      <c r="I9" t="s">
        <v>110</v>
      </c>
    </row>
    <row r="10" spans="1:9" x14ac:dyDescent="0.25">
      <c r="A10" s="2">
        <v>510743</v>
      </c>
      <c r="B10" s="2" t="s">
        <v>29</v>
      </c>
      <c r="C10" s="2"/>
      <c r="D10" s="2" t="s">
        <v>7</v>
      </c>
      <c r="E10" s="2">
        <v>100000000</v>
      </c>
      <c r="F10" s="3"/>
      <c r="G10" s="2" t="s">
        <v>7</v>
      </c>
      <c r="I10" t="s">
        <v>112</v>
      </c>
    </row>
    <row r="11" spans="1:9" x14ac:dyDescent="0.25">
      <c r="A11" s="2" t="s">
        <v>51</v>
      </c>
      <c r="B11" s="2" t="s">
        <v>30</v>
      </c>
      <c r="C11" s="2" t="s">
        <v>31</v>
      </c>
      <c r="D11" s="2" t="s">
        <v>87</v>
      </c>
      <c r="E11" s="2">
        <v>100000000</v>
      </c>
      <c r="F11" s="3"/>
      <c r="G11" s="2" t="s">
        <v>7</v>
      </c>
      <c r="I11" t="s">
        <v>114</v>
      </c>
    </row>
    <row r="12" spans="1:9" x14ac:dyDescent="0.25">
      <c r="A12" s="2" t="s">
        <v>99</v>
      </c>
      <c r="B12" s="2" t="s">
        <v>95</v>
      </c>
      <c r="C12" s="2" t="s">
        <v>31</v>
      </c>
      <c r="D12" s="2" t="s">
        <v>87</v>
      </c>
      <c r="E12" s="2">
        <v>100000000</v>
      </c>
      <c r="F12" s="3"/>
      <c r="G12" s="2" t="s">
        <v>7</v>
      </c>
      <c r="I12" t="s">
        <v>110</v>
      </c>
    </row>
    <row r="13" spans="1:9" x14ac:dyDescent="0.25">
      <c r="A13" s="2" t="s">
        <v>99</v>
      </c>
      <c r="B13" s="2" t="s">
        <v>96</v>
      </c>
      <c r="C13" s="2" t="s">
        <v>31</v>
      </c>
      <c r="D13" s="2" t="s">
        <v>87</v>
      </c>
      <c r="E13" s="2">
        <v>100000000</v>
      </c>
      <c r="F13" s="3"/>
      <c r="G13" s="2" t="s">
        <v>7</v>
      </c>
      <c r="I13" t="s">
        <v>112</v>
      </c>
    </row>
    <row r="14" spans="1:9" x14ac:dyDescent="0.25">
      <c r="A14" s="2" t="s">
        <v>84</v>
      </c>
      <c r="B14" s="2" t="s">
        <v>32</v>
      </c>
      <c r="C14" s="2" t="s">
        <v>31</v>
      </c>
      <c r="D14" s="2" t="s">
        <v>24</v>
      </c>
      <c r="E14" s="2">
        <v>100000000</v>
      </c>
      <c r="F14" s="3"/>
      <c r="G14" s="2" t="s">
        <v>7</v>
      </c>
      <c r="I14" t="s">
        <v>114</v>
      </c>
    </row>
    <row r="15" spans="1:9" x14ac:dyDescent="0.25">
      <c r="A15" s="2" t="s">
        <v>84</v>
      </c>
      <c r="B15" s="2" t="s">
        <v>97</v>
      </c>
      <c r="C15" s="2" t="s">
        <v>31</v>
      </c>
      <c r="D15" s="2"/>
      <c r="E15" s="2">
        <v>100000000</v>
      </c>
      <c r="F15" s="3"/>
      <c r="G15" s="2" t="s">
        <v>7</v>
      </c>
      <c r="I15" t="s">
        <v>110</v>
      </c>
    </row>
    <row r="16" spans="1:9" x14ac:dyDescent="0.25">
      <c r="A16" s="2" t="s">
        <v>84</v>
      </c>
      <c r="B16" s="2" t="s">
        <v>98</v>
      </c>
      <c r="C16" s="2" t="s">
        <v>31</v>
      </c>
      <c r="D16" s="2"/>
      <c r="E16" s="2">
        <v>100000000</v>
      </c>
      <c r="F16" s="3"/>
      <c r="G16" s="2" t="s">
        <v>7</v>
      </c>
      <c r="I16" t="s">
        <v>112</v>
      </c>
    </row>
    <row r="17" spans="1:7" x14ac:dyDescent="0.25">
      <c r="A17" s="2"/>
      <c r="B17" s="2"/>
      <c r="C17" s="2"/>
      <c r="D17" s="2"/>
      <c r="E17" s="2"/>
      <c r="F17" s="3"/>
      <c r="G17" s="2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selection activeCell="Q31" sqref="Q31"/>
    </sheetView>
  </sheetViews>
  <sheetFormatPr defaultRowHeight="15" x14ac:dyDescent="0.25"/>
  <cols>
    <col min="1" max="1" width="24.28515625" style="2" bestFit="1" customWidth="1"/>
    <col min="2" max="2" width="25.42578125" style="2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6" width="10.5703125" style="2" bestFit="1" customWidth="1"/>
    <col min="7" max="7" width="10" style="2" bestFit="1" customWidth="1"/>
    <col min="8" max="9" width="9.140625" style="2" customWidth="1"/>
  </cols>
  <sheetData>
    <row r="1" spans="1:9" x14ac:dyDescent="0.25">
      <c r="A1" s="2" t="s">
        <v>11</v>
      </c>
      <c r="B1" s="2" t="s">
        <v>12</v>
      </c>
    </row>
    <row r="2" spans="1:9" x14ac:dyDescent="0.25">
      <c r="A2" s="2" t="s">
        <v>13</v>
      </c>
      <c r="B2" s="2" t="s">
        <v>14</v>
      </c>
    </row>
    <row r="3" spans="1:9" x14ac:dyDescent="0.25">
      <c r="A3" s="2" t="s">
        <v>15</v>
      </c>
      <c r="B3" s="2" t="s">
        <v>67</v>
      </c>
    </row>
    <row r="4" spans="1:9" x14ac:dyDescent="0.25">
      <c r="A4" s="2" t="s">
        <v>16</v>
      </c>
      <c r="B4" s="2" t="s">
        <v>17</v>
      </c>
    </row>
    <row r="5" spans="1:9" x14ac:dyDescent="0.25">
      <c r="A5" s="2" t="s">
        <v>18</v>
      </c>
      <c r="B5" s="2" t="s">
        <v>80</v>
      </c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 t="s">
        <v>58</v>
      </c>
      <c r="B8" s="2" t="s">
        <v>117</v>
      </c>
      <c r="C8" s="2" t="s">
        <v>69</v>
      </c>
      <c r="D8" s="2" t="s">
        <v>0</v>
      </c>
      <c r="E8" s="2">
        <v>100000000</v>
      </c>
      <c r="F8" s="3"/>
      <c r="G8" s="2" t="s">
        <v>70</v>
      </c>
    </row>
    <row r="9" spans="1:9" x14ac:dyDescent="0.25">
      <c r="A9" s="2" t="s">
        <v>68</v>
      </c>
      <c r="B9" s="2" t="s">
        <v>125</v>
      </c>
      <c r="C9" s="2" t="s">
        <v>70</v>
      </c>
      <c r="D9" s="2" t="s">
        <v>24</v>
      </c>
      <c r="E9" s="2">
        <v>100000000</v>
      </c>
      <c r="F9" s="3">
        <f>F8</f>
        <v>0</v>
      </c>
      <c r="G9" s="2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selection activeCell="B8" sqref="B8"/>
    </sheetView>
  </sheetViews>
  <sheetFormatPr defaultRowHeight="15" x14ac:dyDescent="0.25"/>
  <cols>
    <col min="1" max="1" width="24.28515625" style="2" bestFit="1" customWidth="1"/>
    <col min="2" max="2" width="25.7109375" style="2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6" width="10.5703125" style="2" bestFit="1" customWidth="1"/>
    <col min="7" max="9" width="9.140625" style="2" customWidth="1"/>
  </cols>
  <sheetData>
    <row r="1" spans="1:9" x14ac:dyDescent="0.25">
      <c r="A1" s="2" t="s">
        <v>11</v>
      </c>
      <c r="B1" s="2" t="s">
        <v>12</v>
      </c>
    </row>
    <row r="2" spans="1:9" x14ac:dyDescent="0.25">
      <c r="A2" s="2" t="s">
        <v>13</v>
      </c>
      <c r="B2" s="2" t="s">
        <v>14</v>
      </c>
    </row>
    <row r="3" spans="1:9" x14ac:dyDescent="0.25">
      <c r="A3" s="2" t="s">
        <v>15</v>
      </c>
      <c r="B3" s="2" t="s">
        <v>72</v>
      </c>
    </row>
    <row r="4" spans="1:9" x14ac:dyDescent="0.25">
      <c r="A4" s="2" t="s">
        <v>16</v>
      </c>
      <c r="B4" s="2" t="s">
        <v>17</v>
      </c>
    </row>
    <row r="5" spans="1:9" x14ac:dyDescent="0.25">
      <c r="A5" s="2" t="s">
        <v>18</v>
      </c>
      <c r="B5" s="2" t="s">
        <v>79</v>
      </c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 t="s">
        <v>58</v>
      </c>
      <c r="B8" s="2" t="s">
        <v>117</v>
      </c>
      <c r="C8" s="2" t="s">
        <v>69</v>
      </c>
      <c r="D8" s="2" t="s">
        <v>0</v>
      </c>
      <c r="E8" s="2">
        <v>100000000</v>
      </c>
      <c r="F8" s="3"/>
      <c r="G8" s="2" t="s">
        <v>1</v>
      </c>
    </row>
    <row r="9" spans="1:9" x14ac:dyDescent="0.25">
      <c r="A9" s="2" t="s">
        <v>71</v>
      </c>
      <c r="B9" s="2" t="s">
        <v>118</v>
      </c>
      <c r="C9" s="2" t="s">
        <v>1</v>
      </c>
      <c r="D9" s="2" t="s">
        <v>24</v>
      </c>
      <c r="E9" s="2">
        <v>100000000</v>
      </c>
      <c r="F9" s="3"/>
      <c r="G9" s="2" t="s">
        <v>1</v>
      </c>
    </row>
    <row r="10" spans="1:9" x14ac:dyDescent="0.25">
      <c r="F10" s="3"/>
    </row>
    <row r="11" spans="1:9" x14ac:dyDescent="0.25">
      <c r="F11" s="3"/>
    </row>
    <row r="12" spans="1:9" x14ac:dyDescent="0.25">
      <c r="F12" s="3"/>
    </row>
    <row r="13" spans="1:9" x14ac:dyDescent="0.25">
      <c r="F13" s="3"/>
    </row>
    <row r="15" spans="1:9" x14ac:dyDescent="0.25">
      <c r="F15" s="3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0C91-8816-47D6-8548-7EFCF4E48DC5}">
  <dimension ref="A1:I9"/>
  <sheetViews>
    <sheetView workbookViewId="0">
      <selection activeCell="F11" sqref="F11"/>
    </sheetView>
  </sheetViews>
  <sheetFormatPr defaultRowHeight="15" x14ac:dyDescent="0.25"/>
  <cols>
    <col min="1" max="1" width="24.28515625" bestFit="1" customWidth="1"/>
    <col min="2" max="2" width="15.42578125" customWidth="1"/>
    <col min="3" max="3" width="11.28515625" customWidth="1"/>
    <col min="4" max="4" width="10.85546875" bestFit="1" customWidth="1"/>
    <col min="5" max="5" width="10.85546875" customWidth="1"/>
  </cols>
  <sheetData>
    <row r="1" spans="1:9" x14ac:dyDescent="0.25">
      <c r="A1" s="2" t="s">
        <v>11</v>
      </c>
      <c r="B1" s="2" t="s">
        <v>12</v>
      </c>
      <c r="C1" s="2"/>
      <c r="D1" s="2"/>
      <c r="E1" s="2"/>
      <c r="F1" s="2"/>
      <c r="G1" s="2"/>
      <c r="H1" s="2"/>
    </row>
    <row r="2" spans="1:9" x14ac:dyDescent="0.25">
      <c r="A2" s="2" t="s">
        <v>13</v>
      </c>
      <c r="B2" s="2" t="s">
        <v>14</v>
      </c>
      <c r="C2" s="2"/>
      <c r="D2" s="2"/>
      <c r="E2" s="2"/>
      <c r="F2" s="2"/>
      <c r="G2" s="2"/>
      <c r="H2" s="2"/>
    </row>
    <row r="3" spans="1:9" x14ac:dyDescent="0.25">
      <c r="A3" s="2" t="s">
        <v>15</v>
      </c>
      <c r="B3" s="2" t="s">
        <v>67</v>
      </c>
      <c r="C3" s="2"/>
      <c r="D3" s="2"/>
      <c r="E3" s="2"/>
      <c r="F3" s="2"/>
      <c r="G3" s="2"/>
      <c r="H3" s="2"/>
    </row>
    <row r="4" spans="1:9" x14ac:dyDescent="0.25">
      <c r="A4" s="2" t="s">
        <v>16</v>
      </c>
      <c r="B4" s="2" t="s">
        <v>17</v>
      </c>
      <c r="C4" s="2"/>
      <c r="D4" s="2"/>
      <c r="E4" s="2"/>
      <c r="F4" s="2"/>
      <c r="G4" s="2"/>
      <c r="H4" s="2"/>
    </row>
    <row r="5" spans="1:9" x14ac:dyDescent="0.25">
      <c r="A5" s="2" t="s">
        <v>18</v>
      </c>
      <c r="B5" s="2" t="s">
        <v>81</v>
      </c>
      <c r="C5" s="2"/>
      <c r="D5" s="2"/>
      <c r="E5" s="2"/>
      <c r="F5" s="2"/>
      <c r="G5" s="2"/>
      <c r="H5" s="2"/>
    </row>
    <row r="6" spans="1:9" x14ac:dyDescent="0.25">
      <c r="A6" s="2"/>
      <c r="B6" s="2"/>
      <c r="C6" s="2"/>
      <c r="D6" s="2"/>
      <c r="E6" s="2"/>
      <c r="F6" s="2"/>
      <c r="G6" s="2"/>
      <c r="H6" s="2"/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 t="s">
        <v>73</v>
      </c>
      <c r="B8" s="2" t="s">
        <v>75</v>
      </c>
      <c r="C8" s="2" t="s">
        <v>76</v>
      </c>
      <c r="D8" s="2" t="s">
        <v>77</v>
      </c>
      <c r="E8" s="2">
        <v>100000000</v>
      </c>
      <c r="F8" s="3"/>
      <c r="I8" t="s">
        <v>116</v>
      </c>
    </row>
    <row r="9" spans="1:9" x14ac:dyDescent="0.25">
      <c r="A9" s="2" t="s">
        <v>74</v>
      </c>
      <c r="B9" s="2" t="s">
        <v>75</v>
      </c>
      <c r="C9" s="2" t="s">
        <v>78</v>
      </c>
      <c r="D9" s="2" t="s">
        <v>77</v>
      </c>
      <c r="E9" s="2">
        <v>100000000</v>
      </c>
      <c r="F9" s="3">
        <f>F8</f>
        <v>0</v>
      </c>
      <c r="I9" t="s">
        <v>116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FAAC-EB0D-4119-BC13-2EA5A67C9D02}">
  <dimension ref="A1:I9"/>
  <sheetViews>
    <sheetView workbookViewId="0">
      <selection activeCell="E18" sqref="E18"/>
    </sheetView>
  </sheetViews>
  <sheetFormatPr defaultRowHeight="15" x14ac:dyDescent="0.25"/>
  <cols>
    <col min="1" max="1" width="24.28515625" bestFit="1" customWidth="1"/>
    <col min="2" max="2" width="27" customWidth="1"/>
    <col min="3" max="3" width="11.28515625" customWidth="1"/>
    <col min="4" max="4" width="10.85546875" bestFit="1" customWidth="1"/>
    <col min="5" max="5" width="10.85546875" customWidth="1"/>
    <col min="7" max="7" width="10" bestFit="1" customWidth="1"/>
  </cols>
  <sheetData>
    <row r="1" spans="1:9" x14ac:dyDescent="0.25">
      <c r="A1" s="2" t="s">
        <v>11</v>
      </c>
      <c r="B1" s="2" t="s">
        <v>12</v>
      </c>
      <c r="C1" s="2"/>
      <c r="D1" s="2"/>
      <c r="E1" s="2"/>
      <c r="F1" s="2"/>
      <c r="G1" s="2"/>
      <c r="H1" s="2"/>
    </row>
    <row r="2" spans="1:9" x14ac:dyDescent="0.25">
      <c r="A2" s="2" t="s">
        <v>13</v>
      </c>
      <c r="B2" s="2" t="s">
        <v>108</v>
      </c>
      <c r="C2" s="2"/>
      <c r="D2" s="2"/>
      <c r="E2" s="2"/>
      <c r="F2" s="2"/>
      <c r="G2" s="2"/>
      <c r="H2" s="2"/>
    </row>
    <row r="3" spans="1:9" x14ac:dyDescent="0.25">
      <c r="A3" s="2" t="s">
        <v>15</v>
      </c>
      <c r="B3" s="2" t="s">
        <v>100</v>
      </c>
      <c r="C3" s="2"/>
      <c r="D3" s="2"/>
      <c r="E3" s="2"/>
      <c r="F3" s="2"/>
      <c r="G3" s="2"/>
      <c r="H3" s="2"/>
    </row>
    <row r="4" spans="1:9" x14ac:dyDescent="0.25">
      <c r="A4" s="2" t="s">
        <v>16</v>
      </c>
      <c r="B4" s="2" t="s">
        <v>17</v>
      </c>
      <c r="C4" s="2"/>
      <c r="D4" s="2"/>
      <c r="E4" s="2"/>
      <c r="F4" s="2"/>
      <c r="G4" s="2"/>
      <c r="H4" s="2"/>
    </row>
    <row r="5" spans="1:9" x14ac:dyDescent="0.25">
      <c r="A5" s="2" t="s">
        <v>18</v>
      </c>
      <c r="B5" s="2" t="s">
        <v>120</v>
      </c>
      <c r="C5" s="2"/>
      <c r="D5" s="2"/>
      <c r="E5" s="2"/>
      <c r="F5" s="2"/>
      <c r="G5" s="2"/>
      <c r="H5" s="2"/>
    </row>
    <row r="6" spans="1:9" x14ac:dyDescent="0.25">
      <c r="A6" s="2"/>
      <c r="B6" s="2"/>
      <c r="C6" s="2"/>
      <c r="D6" s="2"/>
      <c r="E6" s="2"/>
      <c r="F6" s="2"/>
      <c r="G6" s="2"/>
      <c r="H6" s="2"/>
    </row>
    <row r="7" spans="1:9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9" x14ac:dyDescent="0.25">
      <c r="A8" s="2" t="s">
        <v>58</v>
      </c>
      <c r="B8" s="2" t="s">
        <v>117</v>
      </c>
      <c r="C8" s="2" t="s">
        <v>69</v>
      </c>
      <c r="D8" s="2" t="s">
        <v>0</v>
      </c>
      <c r="E8" s="2">
        <v>100000000</v>
      </c>
      <c r="F8" s="3"/>
      <c r="G8" s="2" t="s">
        <v>102</v>
      </c>
    </row>
    <row r="9" spans="1:9" x14ac:dyDescent="0.25">
      <c r="A9" s="2" t="s">
        <v>101</v>
      </c>
      <c r="B9" s="2" t="s">
        <v>119</v>
      </c>
      <c r="C9" s="2" t="s">
        <v>102</v>
      </c>
      <c r="D9" s="2"/>
      <c r="E9" s="2">
        <v>100000000</v>
      </c>
      <c r="F9" s="3">
        <f>F8</f>
        <v>0</v>
      </c>
      <c r="G9" s="2" t="s">
        <v>102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1321-D9B8-4290-9E0D-73E516A2656E}">
  <dimension ref="A1:J10"/>
  <sheetViews>
    <sheetView workbookViewId="0">
      <selection activeCell="J8" sqref="J8:J10"/>
    </sheetView>
  </sheetViews>
  <sheetFormatPr defaultRowHeight="15" x14ac:dyDescent="0.25"/>
  <cols>
    <col min="1" max="1" width="24.28515625" bestFit="1" customWidth="1"/>
    <col min="2" max="2" width="16.7109375" customWidth="1"/>
    <col min="3" max="3" width="12.140625" bestFit="1" customWidth="1"/>
    <col min="4" max="4" width="10.85546875" bestFit="1" customWidth="1"/>
    <col min="5" max="5" width="10" bestFit="1" customWidth="1"/>
  </cols>
  <sheetData>
    <row r="1" spans="1:10" x14ac:dyDescent="0.25">
      <c r="A1" s="2" t="s">
        <v>11</v>
      </c>
      <c r="B1" s="2" t="s">
        <v>12</v>
      </c>
      <c r="C1" s="2"/>
      <c r="D1" s="2"/>
      <c r="E1" s="2"/>
      <c r="F1" s="2"/>
      <c r="G1" s="2"/>
      <c r="H1" s="2"/>
      <c r="I1" s="2"/>
    </row>
    <row r="2" spans="1:10" x14ac:dyDescent="0.25">
      <c r="A2" s="2" t="s">
        <v>13</v>
      </c>
      <c r="B2" s="2" t="s">
        <v>14</v>
      </c>
      <c r="C2" s="2"/>
      <c r="D2" s="2"/>
      <c r="E2" s="2"/>
      <c r="F2" s="2"/>
      <c r="G2" s="2"/>
      <c r="H2" s="2"/>
      <c r="I2" s="2"/>
    </row>
    <row r="3" spans="1:10" x14ac:dyDescent="0.25">
      <c r="A3" s="2" t="s">
        <v>15</v>
      </c>
      <c r="B3" s="2" t="s">
        <v>25</v>
      </c>
      <c r="C3" s="2"/>
      <c r="D3" s="2"/>
      <c r="E3" s="2"/>
      <c r="F3" s="2"/>
      <c r="G3" s="2"/>
      <c r="H3" s="2"/>
      <c r="I3" s="2"/>
    </row>
    <row r="4" spans="1:10" x14ac:dyDescent="0.25">
      <c r="A4" s="2" t="s">
        <v>16</v>
      </c>
      <c r="B4" s="2" t="s">
        <v>17</v>
      </c>
      <c r="C4" s="2"/>
      <c r="D4" s="2"/>
      <c r="E4" s="2"/>
      <c r="F4" s="2"/>
      <c r="G4" s="2"/>
      <c r="H4" s="2"/>
      <c r="I4" s="2"/>
    </row>
    <row r="5" spans="1:10" x14ac:dyDescent="0.25">
      <c r="A5" s="2" t="s">
        <v>18</v>
      </c>
      <c r="B5" s="2" t="s">
        <v>135</v>
      </c>
      <c r="C5" s="2"/>
      <c r="D5" s="2"/>
      <c r="E5" s="2"/>
      <c r="F5" s="2"/>
      <c r="G5" s="2"/>
      <c r="H5" s="2"/>
      <c r="I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</row>
    <row r="7" spans="1:10" x14ac:dyDescent="0.25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</v>
      </c>
      <c r="G7" s="2" t="s">
        <v>103</v>
      </c>
      <c r="H7" s="2" t="s">
        <v>104</v>
      </c>
      <c r="I7" s="2" t="s">
        <v>109</v>
      </c>
    </row>
    <row r="8" spans="1:10" x14ac:dyDescent="0.25">
      <c r="A8" s="2" t="s">
        <v>132</v>
      </c>
      <c r="B8" s="2" t="s">
        <v>117</v>
      </c>
      <c r="C8" s="2">
        <v>113110101</v>
      </c>
      <c r="D8" s="2">
        <v>31901101</v>
      </c>
      <c r="E8" s="2">
        <v>100000000</v>
      </c>
      <c r="F8" s="3"/>
      <c r="G8" s="2"/>
      <c r="I8" s="2"/>
      <c r="J8" t="s">
        <v>138</v>
      </c>
    </row>
    <row r="9" spans="1:10" x14ac:dyDescent="0.25">
      <c r="A9" s="2" t="s">
        <v>133</v>
      </c>
      <c r="B9" s="2" t="s">
        <v>117</v>
      </c>
      <c r="C9" s="2">
        <v>311110101</v>
      </c>
      <c r="D9" s="2">
        <v>31901101</v>
      </c>
      <c r="E9" s="2">
        <v>100000000</v>
      </c>
      <c r="F9" s="3"/>
      <c r="G9" s="2"/>
      <c r="I9" s="2"/>
      <c r="J9" t="s">
        <v>138</v>
      </c>
    </row>
    <row r="10" spans="1:10" x14ac:dyDescent="0.25">
      <c r="A10" s="2">
        <v>560654</v>
      </c>
      <c r="B10" t="s">
        <v>134</v>
      </c>
      <c r="C10" s="2">
        <v>311110101</v>
      </c>
      <c r="E10" s="2">
        <v>100000000</v>
      </c>
      <c r="J10" t="s">
        <v>137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1ce42f-c57e-4699-9768-bf8c2a029303">
      <Terms xmlns="http://schemas.microsoft.com/office/infopath/2007/PartnerControls"/>
    </lcf76f155ced4ddcb4097134ff3c332f>
    <TaxCatchAll xmlns="a6d483d6-7cde-454f-9700-1dca77a67851" xsi:nil="true"/>
    <_Flow_SignoffStatus xmlns="5f1ce42f-c57e-4699-9768-bf8c2a02930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85EEB1003B445BFA9C09079EFAE82" ma:contentTypeVersion="18" ma:contentTypeDescription="Create a new document." ma:contentTypeScope="" ma:versionID="fc7322597f9576036aef58f54e8cb3cf">
  <xsd:schema xmlns:xsd="http://www.w3.org/2001/XMLSchema" xmlns:xs="http://www.w3.org/2001/XMLSchema" xmlns:p="http://schemas.microsoft.com/office/2006/metadata/properties" xmlns:ns2="5f1ce42f-c57e-4699-9768-bf8c2a029303" xmlns:ns3="a6d483d6-7cde-454f-9700-1dca77a67851" targetNamespace="http://schemas.microsoft.com/office/2006/metadata/properties" ma:root="true" ma:fieldsID="5a799a2af74b1edde9d6656877136a7d" ns2:_="" ns3:_="">
    <xsd:import namespace="5f1ce42f-c57e-4699-9768-bf8c2a029303"/>
    <xsd:import namespace="a6d483d6-7cde-454f-9700-1dca77a67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e42f-c57e-4699-9768-bf8c2a029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483d6-7cde-454f-9700-1dca77a67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ea0cd7b-8640-4936-9aa7-ceab169db3a7}" ma:internalName="TaxCatchAll" ma:showField="CatchAllData" ma:web="a6d483d6-7cde-454f-9700-1dca77a67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E49084-5719-49CD-A008-AB879E7F1353}">
  <ds:schemaRefs>
    <ds:schemaRef ds:uri="http://schemas.microsoft.com/office/2006/metadata/properties"/>
    <ds:schemaRef ds:uri="http://schemas.microsoft.com/office/infopath/2007/PartnerControls"/>
    <ds:schemaRef ds:uri="5f1ce42f-c57e-4699-9768-bf8c2a029303"/>
    <ds:schemaRef ds:uri="a6d483d6-7cde-454f-9700-1dca77a67851"/>
  </ds:schemaRefs>
</ds:datastoreItem>
</file>

<file path=customXml/itemProps2.xml><?xml version="1.0" encoding="utf-8"?>
<ds:datastoreItem xmlns:ds="http://schemas.openxmlformats.org/officeDocument/2006/customXml" ds:itemID="{577AEBCC-ECF2-44EB-912A-AE3383D52A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32D99A-2938-463B-82B7-51126764D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1ce42f-c57e-4699-9768-bf8c2a029303"/>
    <ds:schemaRef ds:uri="a6d483d6-7cde-454f-9700-1dca77a67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PRINCIPAL</vt:lpstr>
      <vt:lpstr>SUBSTITUICOES</vt:lpstr>
      <vt:lpstr>GRATIF_ENCARGOS_CURSO</vt:lpstr>
      <vt:lpstr>BENEFICIOS_ATIVO</vt:lpstr>
      <vt:lpstr>PROSAUDE_INATIVO</vt:lpstr>
      <vt:lpstr>PROSAUDE_PENSIONISTA</vt:lpstr>
      <vt:lpstr>LIC_PREMIO_APOSENTADOS</vt:lpstr>
      <vt:lpstr>INDENIZ_FERIAS_LIC_COMPENSATORI</vt:lpstr>
      <vt:lpstr>INDENIZAÇÕES_E_RESTITUIÇOES</vt:lpstr>
      <vt:lpstr>DEA_VENCIMENTOS</vt:lpstr>
      <vt:lpstr>DEA_SUBSTITUICOES</vt:lpstr>
      <vt:lpstr>DEA_INDENIZAÇOES</vt:lpstr>
      <vt:lpstr>DEA_BENEFÍCIOS</vt:lpstr>
      <vt:lpstr>RETENCAO_IPREV</vt:lpstr>
      <vt:lpstr>RETENÇAO_IRRF</vt:lpstr>
      <vt:lpstr>PATRONAL_IPREV</vt:lpstr>
      <vt:lpstr>PREVICOM_FACULTATIVA</vt:lpstr>
      <vt:lpstr>ADIANTAMENTO_FERIAS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Esquerdo</dc:creator>
  <cp:lastModifiedBy>Willyan Marques De Melo</cp:lastModifiedBy>
  <dcterms:created xsi:type="dcterms:W3CDTF">2025-03-20T03:30:04Z</dcterms:created>
  <dcterms:modified xsi:type="dcterms:W3CDTF">2025-11-06T20:07:08Z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0x010100ACA85EEB1003B445BFA9C09079EFAE82</vt:lpwstr>
  </property>
  <property fmtid="{D5CDD505-2E9C-101B-9397-08002B2CF9AE}" pid="3" name="MediaServiceImageTags">
    <vt:lpwstr/>
  </property>
</Properties>
</file>